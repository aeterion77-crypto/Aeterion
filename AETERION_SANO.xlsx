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ylan\Downloads\"/>
    </mc:Choice>
  </mc:AlternateContent>
  <xr:revisionPtr revIDLastSave="0" documentId="13_ncr:1_{EB61E483-E8DE-43E0-8446-98E747243D4B}" xr6:coauthVersionLast="47" xr6:coauthVersionMax="47" xr10:uidLastSave="{00000000-0000-0000-0000-000000000000}"/>
  <bookViews>
    <workbookView xWindow="-110" yWindow="-110" windowWidth="21820" windowHeight="13900" activeTab="2" xr2:uid="{00000000-000D-0000-FFFF-FFFF00000000}"/>
  </bookViews>
  <sheets>
    <sheet name="1. DATOS" sheetId="1" r:id="rId1"/>
    <sheet name="2. RESULTADOS" sheetId="2" r:id="rId2"/>
    <sheet name="3. GUÍA ALIMENTACIÓN" sheetId="3" r:id="rId3"/>
    <sheet name="4. EQUIVALENCIAS CARBS" sheetId="4" r:id="rId4"/>
    <sheet name="Suplement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 s="1"/>
  <c r="B12" i="4" l="1"/>
  <c r="B4" i="4"/>
  <c r="B11" i="4"/>
  <c r="B3" i="4"/>
  <c r="B10" i="4"/>
  <c r="B9" i="4"/>
  <c r="B5" i="4"/>
  <c r="B8" i="4"/>
  <c r="B7" i="4"/>
  <c r="B6" i="4"/>
  <c r="B5" i="2"/>
  <c r="B6" i="2"/>
  <c r="C13" i="3" l="1"/>
  <c r="C12" i="3"/>
  <c r="C22" i="3"/>
  <c r="C8" i="3"/>
  <c r="C21" i="3"/>
  <c r="C7" i="3"/>
  <c r="C20" i="3"/>
  <c r="C6" i="3"/>
  <c r="C19" i="3"/>
  <c r="C5" i="3"/>
  <c r="C15" i="3"/>
  <c r="C14" i="3"/>
</calcChain>
</file>

<file path=xl/sharedStrings.xml><?xml version="1.0" encoding="utf-8"?>
<sst xmlns="http://schemas.openxmlformats.org/spreadsheetml/2006/main" count="105" uniqueCount="93">
  <si>
    <t>SISTEMA AETERION - INPUT</t>
  </si>
  <si>
    <t>Peso (kg)</t>
  </si>
  <si>
    <t>Estatura (cm)</t>
  </si>
  <si>
    <t>Edad</t>
  </si>
  <si>
    <t>Sexo (1=M, 0=F)</t>
  </si>
  <si>
    <t>Actividad (1.2-1.9)</t>
  </si>
  <si>
    <t>Objetivo (1, 2, 3)</t>
  </si>
  <si>
    <t>DASHBOARD NUTRICIONAL</t>
  </si>
  <si>
    <t>METRICA</t>
  </si>
  <si>
    <t>GRAMOS TOTALES</t>
  </si>
  <si>
    <t>PORCENTAJE</t>
  </si>
  <si>
    <t>Calorías Totales</t>
  </si>
  <si>
    <t>100%</t>
  </si>
  <si>
    <t>Carbohidratos</t>
  </si>
  <si>
    <t>50%</t>
  </si>
  <si>
    <t>Proteína</t>
  </si>
  <si>
    <t>22%</t>
  </si>
  <si>
    <t>Grasas</t>
  </si>
  <si>
    <t>28%</t>
  </si>
  <si>
    <t>OPCIONES (PESAR EN CRUDO):</t>
  </si>
  <si>
    <t>Pechuga de Pollo</t>
  </si>
  <si>
    <t>Pescado Blanco</t>
  </si>
  <si>
    <t>Carne Roja Magra</t>
  </si>
  <si>
    <t>Huevo Entero (Piezas)</t>
  </si>
  <si>
    <t>EQUIVALENCIAS TOTALES AL DÍA (ELIGE SOLO UN ALIMENTO)</t>
  </si>
  <si>
    <t>SI SOLO COMES ESTE ALIMENTO:</t>
  </si>
  <si>
    <t>ESTA ES LA CANTIDAD TOTAL PARA EL DÍA:</t>
  </si>
  <si>
    <t>Tortilla de maíz</t>
  </si>
  <si>
    <t>Arroz cocido</t>
  </si>
  <si>
    <t>Pasta cocida</t>
  </si>
  <si>
    <t>Avena en hojuelas</t>
  </si>
  <si>
    <t>Papa cocida</t>
  </si>
  <si>
    <t>Camote cocido</t>
  </si>
  <si>
    <t>Frijoles / Lentejas</t>
  </si>
  <si>
    <t>Pan de caja</t>
  </si>
  <si>
    <t>Bolillo (sin migajón)</t>
  </si>
  <si>
    <t>Fruta (según porción)</t>
  </si>
  <si>
    <t>LÍQUIDOS</t>
  </si>
  <si>
    <t xml:space="preserve"> Toronja</t>
  </si>
  <si>
    <t>Durazno</t>
  </si>
  <si>
    <t>Pera</t>
  </si>
  <si>
    <t>Sandia</t>
  </si>
  <si>
    <t>Uvas</t>
  </si>
  <si>
    <t>Fresas</t>
  </si>
  <si>
    <t xml:space="preserve"> </t>
  </si>
  <si>
    <t>Melon</t>
  </si>
  <si>
    <t>Yoghurt griego sin azucar con avena y semillas o con fruta, o un pan de caja doble cero con crema de cacahuate natural.</t>
  </si>
  <si>
    <t>DESAYUNO:</t>
  </si>
  <si>
    <t>A PARTIR DE ESTA HORA SE RECOMIENDA NO CONSUMIR MAS ALIMENTO</t>
  </si>
  <si>
    <t>COMIDA 1: ELEGIR UNA DE LAS SIGUIENTES</t>
  </si>
  <si>
    <t>COMIDA 2: ELEGIR UNA DE LAS SIGUIENTES</t>
  </si>
  <si>
    <t>COMIDA 3: ELEGIR UNA DE LAS SIGUIENTES</t>
  </si>
  <si>
    <t>Frutas( 1-2 porciones al dia)</t>
  </si>
  <si>
    <t>1. Ingresa datos en celdas AZULES.</t>
  </si>
  <si>
    <t>2. Factor Actividad:</t>
  </si>
  <si>
    <t xml:space="preserve">   1.2 Sedentario</t>
  </si>
  <si>
    <t xml:space="preserve">   1.375 Ligero (1-3 días)</t>
  </si>
  <si>
    <t xml:space="preserve">   1.55 Moderado (3-5 días)</t>
  </si>
  <si>
    <t xml:space="preserve">   1.725 Fuerte (6-7 días)             </t>
  </si>
  <si>
    <t>1.9 Atleta (2 veces al dia)</t>
  </si>
  <si>
    <t>3. El sistema calcula macros basados en evidencia clínica AMDR/ADA.</t>
  </si>
  <si>
    <t>COCCIÓN</t>
  </si>
  <si>
    <t>Solo agua, jamaica, té o café (Sin azucar o edulcorante).</t>
  </si>
  <si>
    <t>Usar spray de oliva (PAM), evitar freír, sal a considerar.</t>
  </si>
  <si>
    <t>PROHIBIDO/ NO RECOMENDADO</t>
  </si>
  <si>
    <t>Embutidos, aderezos (ketchup/mayo), refrescos, alimentos ultra procesados.</t>
  </si>
  <si>
    <t xml:space="preserve">FIBRA </t>
  </si>
  <si>
    <t xml:space="preserve">Puedes elegir uno solo o combinar, divide las porciones o consume dependiendo lo que elijas. </t>
  </si>
  <si>
    <t>Omega 3</t>
  </si>
  <si>
    <t>Café</t>
  </si>
  <si>
    <t>Multivitaminico.</t>
  </si>
  <si>
    <t>Creatina (5g diarios).</t>
  </si>
  <si>
    <t>Potasio.</t>
  </si>
  <si>
    <t>Magnesio.</t>
  </si>
  <si>
    <r>
      <t>SUPLEMENTOS (</t>
    </r>
    <r>
      <rPr>
        <b/>
        <sz val="11"/>
        <color rgb="FFFF0000"/>
        <rFont val="Calibri"/>
        <family val="2"/>
        <scheme val="minor"/>
      </rPr>
      <t xml:space="preserve"> CONSULTAR MEDICO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rgb="FFFF0000"/>
        <rFont val="Calibri"/>
        <family val="2"/>
        <scheme val="minor"/>
      </rPr>
      <t>DOSIS ADECUADAS PARA TI</t>
    </r>
    <r>
      <rPr>
        <sz val="11"/>
        <color theme="1"/>
        <rFont val="Calibri"/>
        <family val="2"/>
        <scheme val="minor"/>
      </rPr>
      <t xml:space="preserve">) ES UNA RECOMENDACIÓN SI TU DIETA ES DEFICIENTE. </t>
    </r>
    <r>
      <rPr>
        <b/>
        <sz val="11"/>
        <color rgb="FFFF0000"/>
        <rFont val="Calibri"/>
        <family val="2"/>
        <scheme val="minor"/>
      </rPr>
      <t>RESPONSABILIDAD DE QUIEN LO CONSUME.</t>
    </r>
  </si>
  <si>
    <t>Vitamina C</t>
  </si>
  <si>
    <t>Zinc</t>
  </si>
  <si>
    <t>Vitamina D3</t>
  </si>
  <si>
    <t>Depende de tu dieta, suplementar con precaucion y conocimiento. Totalmente seguro si lo haces bien y adecuado a tus necesidades.</t>
  </si>
  <si>
    <t>Objetivo:</t>
  </si>
  <si>
    <t>1: Perdida de grasa.</t>
  </si>
  <si>
    <t>2: Mantenimiento.</t>
  </si>
  <si>
    <t>3: Ganancia muscular.</t>
  </si>
  <si>
    <t>RECOMENDACIÓN: Mas importa el porcentaje de grasa corporal y visceral que el peso. Checa estos parametros y cintura.</t>
  </si>
  <si>
    <t>Cintura hombre: Menor a 94cm.</t>
  </si>
  <si>
    <t>Cintura mujer: Menor a 80cm.</t>
  </si>
  <si>
    <t>MAYOR A ESOS VALORES, MAS RIESGO</t>
  </si>
  <si>
    <t>Grasa corporal saludable hombre: 14-17%. Mas de 25%= Obesidad.</t>
  </si>
  <si>
    <t xml:space="preserve">Grasa corporal saludable mujer: 21-24%. Mas de 32%= Obesidad. </t>
  </si>
  <si>
    <t>IMPORTANTE LLEGAR AL REQUERIMIENTO DE FIBRA DIARIO PARA BUENA SALUD INTESTINAL Y COLORRECTAL</t>
  </si>
  <si>
    <t xml:space="preserve">Alimentos altos en fibra(Soluble e insoluble) o suplementar con Psyllium y/o inulina de agave. </t>
  </si>
  <si>
    <r>
      <rPr>
        <b/>
        <sz val="16"/>
        <color rgb="FF00B050"/>
        <rFont val="Calibri"/>
        <family val="2"/>
        <scheme val="minor"/>
      </rPr>
      <t>Al despertar, lo primero a consumir es agua</t>
    </r>
    <r>
      <rPr>
        <sz val="16"/>
        <color theme="1"/>
        <rFont val="Calibri"/>
        <family val="2"/>
        <scheme val="minor"/>
      </rPr>
      <t>.</t>
    </r>
  </si>
  <si>
    <t>VERDURAS (Mínimo 1-2 tazas, de preferencia crudo o semicrudo): Chayote, Aguacate, Espinaca, Brócoli, Espárragos, Calabacita, Lechuga, Ejotes, Jícama, Pepino, Nopales,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</si>
</sst>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C5A059"/>
      <name val="Arial"/>
    </font>
    <font>
      <b/>
      <sz val="11"/>
      <color rgb="FFFFFFFF"/>
      <name val="Arial"/>
    </font>
    <font>
      <sz val="16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E1E6F0"/>
      </patternFill>
    </fill>
    <fill>
      <patternFill patternType="solid">
        <fgColor rgb="FFFF0000"/>
        <bgColor rgb="FF1A1A1A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 vertical="center" indent="1"/>
    </xf>
    <xf numFmtId="0" fontId="2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18" fontId="2" fillId="2" borderId="0" xfId="0" applyNumberFormat="1" applyFont="1" applyFill="1"/>
    <xf numFmtId="18" fontId="0" fillId="3" borderId="0" xfId="0" applyNumberFormat="1" applyFill="1"/>
    <xf numFmtId="0" fontId="4" fillId="2" borderId="0" xfId="0" applyFont="1" applyFill="1"/>
    <xf numFmtId="0" fontId="0" fillId="0" borderId="0" xfId="0" applyAlignment="1">
      <alignment vertical="top" wrapText="1" indent="1"/>
    </xf>
    <xf numFmtId="0" fontId="7" fillId="0" borderId="0" xfId="0" applyFont="1"/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3" fillId="8" borderId="0" xfId="0" applyFont="1" applyFill="1"/>
    <xf numFmtId="0" fontId="3" fillId="8" borderId="2" xfId="0" applyFont="1" applyFill="1" applyBorder="1"/>
    <xf numFmtId="0" fontId="0" fillId="8" borderId="0" xfId="0" applyFill="1"/>
    <xf numFmtId="0" fontId="0" fillId="9" borderId="0" xfId="0" applyFill="1"/>
    <xf numFmtId="0" fontId="6" fillId="9" borderId="0" xfId="0" applyFont="1" applyFill="1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" fillId="7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0" fontId="0" fillId="4" borderId="0" xfId="0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F24" sqref="F24"/>
    </sheetView>
  </sheetViews>
  <sheetFormatPr baseColWidth="10" defaultColWidth="8.7265625" defaultRowHeight="14.5" x14ac:dyDescent="0.35"/>
  <cols>
    <col min="1" max="1" width="30" customWidth="1"/>
    <col min="2" max="2" width="15" customWidth="1"/>
  </cols>
  <sheetData>
    <row r="1" spans="1:18" x14ac:dyDescent="0.35">
      <c r="A1" t="s">
        <v>0</v>
      </c>
    </row>
    <row r="2" spans="1:18" ht="14.5" customHeight="1" x14ac:dyDescent="0.35">
      <c r="A2" s="1" t="s">
        <v>1</v>
      </c>
      <c r="B2" s="13">
        <v>75</v>
      </c>
      <c r="D2" s="11" t="s">
        <v>53</v>
      </c>
      <c r="E2" s="12"/>
      <c r="F2" s="12"/>
      <c r="G2" s="11"/>
      <c r="H2" s="11"/>
      <c r="I2" s="11"/>
      <c r="J2" s="11"/>
    </row>
    <row r="3" spans="1:18" x14ac:dyDescent="0.35">
      <c r="A3" s="1" t="s">
        <v>2</v>
      </c>
      <c r="B3" s="13">
        <v>170</v>
      </c>
      <c r="D3" s="11" t="s">
        <v>54</v>
      </c>
      <c r="E3" s="11"/>
      <c r="F3" s="11"/>
      <c r="G3" s="11"/>
      <c r="H3" s="11"/>
      <c r="I3" s="11"/>
      <c r="J3" s="11"/>
    </row>
    <row r="4" spans="1:18" x14ac:dyDescent="0.35">
      <c r="A4" s="1" t="s">
        <v>3</v>
      </c>
      <c r="B4" s="13">
        <v>21</v>
      </c>
      <c r="D4" s="11" t="s">
        <v>55</v>
      </c>
      <c r="E4" s="11"/>
      <c r="F4" s="11"/>
      <c r="G4" s="11"/>
      <c r="H4" s="11"/>
      <c r="I4" s="11"/>
      <c r="J4" s="11"/>
    </row>
    <row r="5" spans="1:18" x14ac:dyDescent="0.35">
      <c r="A5" s="1" t="s">
        <v>4</v>
      </c>
      <c r="B5" s="13">
        <v>1</v>
      </c>
      <c r="D5" s="11" t="s">
        <v>56</v>
      </c>
      <c r="E5" s="11"/>
      <c r="F5" s="11"/>
      <c r="G5" s="11"/>
      <c r="H5" s="11"/>
      <c r="I5" s="11"/>
      <c r="J5" s="11"/>
    </row>
    <row r="6" spans="1:18" x14ac:dyDescent="0.35">
      <c r="A6" s="1" t="s">
        <v>5</v>
      </c>
      <c r="B6" s="13">
        <v>1.55</v>
      </c>
      <c r="D6" s="11" t="s">
        <v>57</v>
      </c>
      <c r="E6" s="11"/>
      <c r="F6" s="11"/>
      <c r="G6" s="11"/>
      <c r="H6" s="11"/>
      <c r="I6" s="11"/>
      <c r="J6" s="11"/>
    </row>
    <row r="7" spans="1:18" x14ac:dyDescent="0.35">
      <c r="A7" s="1" t="s">
        <v>6</v>
      </c>
      <c r="B7" s="13">
        <v>3</v>
      </c>
      <c r="D7" s="11" t="s">
        <v>58</v>
      </c>
      <c r="E7" s="11"/>
      <c r="F7" s="11"/>
      <c r="G7" s="11"/>
      <c r="H7" s="11"/>
      <c r="I7" s="11"/>
      <c r="J7" s="11"/>
    </row>
    <row r="8" spans="1:18" x14ac:dyDescent="0.35">
      <c r="D8" s="11" t="s">
        <v>59</v>
      </c>
      <c r="E8" s="11"/>
      <c r="F8" s="11"/>
      <c r="G8" s="11"/>
      <c r="H8" s="11"/>
      <c r="I8" s="11"/>
      <c r="J8" s="11"/>
    </row>
    <row r="9" spans="1:18" x14ac:dyDescent="0.35">
      <c r="D9" s="11" t="s">
        <v>60</v>
      </c>
      <c r="E9" s="11"/>
      <c r="F9" s="11"/>
      <c r="G9" s="11"/>
      <c r="H9" s="11"/>
      <c r="I9" s="11"/>
      <c r="J9" s="11"/>
    </row>
    <row r="11" spans="1:18" x14ac:dyDescent="0.35">
      <c r="D11" s="21" t="s">
        <v>79</v>
      </c>
      <c r="E11" s="21"/>
      <c r="G11" s="17" t="s">
        <v>83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x14ac:dyDescent="0.35">
      <c r="D12" s="21" t="s">
        <v>80</v>
      </c>
      <c r="E12" s="21"/>
      <c r="G12" s="22" t="s">
        <v>84</v>
      </c>
      <c r="H12" s="22"/>
      <c r="I12" s="22"/>
      <c r="J12" s="17"/>
      <c r="K12" s="18" t="s">
        <v>86</v>
      </c>
      <c r="L12" s="17"/>
      <c r="M12" s="17"/>
      <c r="N12" s="17"/>
      <c r="O12" s="17"/>
      <c r="P12" s="17"/>
      <c r="Q12" s="17"/>
      <c r="R12" s="17"/>
    </row>
    <row r="13" spans="1:18" x14ac:dyDescent="0.35">
      <c r="D13" s="21" t="s">
        <v>81</v>
      </c>
      <c r="E13" s="21"/>
      <c r="G13" s="22" t="s">
        <v>85</v>
      </c>
      <c r="H13" s="22"/>
      <c r="I13" s="22"/>
      <c r="J13" s="17"/>
      <c r="K13" s="17"/>
      <c r="L13" s="17"/>
      <c r="M13" s="17"/>
      <c r="N13" s="17"/>
      <c r="O13" s="17"/>
      <c r="P13" s="17"/>
      <c r="Q13" s="17"/>
      <c r="R13" s="17"/>
    </row>
    <row r="14" spans="1:18" x14ac:dyDescent="0.35">
      <c r="D14" s="21" t="s">
        <v>82</v>
      </c>
      <c r="E14" s="21"/>
      <c r="G14" s="17" t="s">
        <v>87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x14ac:dyDescent="0.35">
      <c r="G15" s="17" t="s">
        <v>88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</sheetData>
  <mergeCells count="6">
    <mergeCell ref="D12:E12"/>
    <mergeCell ref="D13:E13"/>
    <mergeCell ref="D14:E14"/>
    <mergeCell ref="D11:E11"/>
    <mergeCell ref="G12:I12"/>
    <mergeCell ref="G13:I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sqref="A1:C1"/>
    </sheetView>
  </sheetViews>
  <sheetFormatPr baseColWidth="10" defaultColWidth="8.7265625" defaultRowHeight="14.5" x14ac:dyDescent="0.35"/>
  <cols>
    <col min="1" max="1" width="25" customWidth="1"/>
    <col min="2" max="2" width="20" customWidth="1"/>
    <col min="3" max="3" width="15" customWidth="1"/>
  </cols>
  <sheetData>
    <row r="1" spans="1:3" x14ac:dyDescent="0.35">
      <c r="A1" s="19" t="s">
        <v>7</v>
      </c>
      <c r="B1" s="23"/>
      <c r="C1" s="23"/>
    </row>
    <row r="2" spans="1:3" x14ac:dyDescent="0.35">
      <c r="A2" s="2" t="s">
        <v>8</v>
      </c>
      <c r="B2" s="3" t="s">
        <v>9</v>
      </c>
      <c r="C2" s="3" t="s">
        <v>10</v>
      </c>
    </row>
    <row r="3" spans="1:3" x14ac:dyDescent="0.35">
      <c r="A3" s="2" t="s">
        <v>11</v>
      </c>
      <c r="B3" s="3">
        <f>((10*'1. DATOS'!B2)+(6.25*'1. DATOS'!B3)-(5*'1. DATOS'!B4)+IF('1. DATOS'!B5=1,5,-161))*'1. DATOS'!B6*IF('1. DATOS'!B7=1,0.85,IF('1. DATOS'!B7=3,1.1,1))</f>
        <v>2919.8125000000005</v>
      </c>
      <c r="C3" s="3" t="s">
        <v>12</v>
      </c>
    </row>
    <row r="4" spans="1:3" x14ac:dyDescent="0.35">
      <c r="A4" s="2" t="s">
        <v>13</v>
      </c>
      <c r="B4" s="3">
        <f>B3*0.5/4</f>
        <v>364.97656250000006</v>
      </c>
      <c r="C4" s="3" t="s">
        <v>14</v>
      </c>
    </row>
    <row r="5" spans="1:3" x14ac:dyDescent="0.35">
      <c r="A5" s="2" t="s">
        <v>15</v>
      </c>
      <c r="B5" s="3">
        <f>B3*0.22/4</f>
        <v>160.58968750000003</v>
      </c>
      <c r="C5" s="3" t="s">
        <v>16</v>
      </c>
    </row>
    <row r="6" spans="1:3" x14ac:dyDescent="0.35">
      <c r="A6" s="2" t="s">
        <v>17</v>
      </c>
      <c r="B6" s="3">
        <f>B3*0.28/9</f>
        <v>90.838611111111135</v>
      </c>
      <c r="C6" s="3" t="s">
        <v>18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tabSelected="1" topLeftCell="A15" workbookViewId="0">
      <selection activeCell="B24" sqref="B24"/>
    </sheetView>
  </sheetViews>
  <sheetFormatPr baseColWidth="10" defaultColWidth="8.7265625" defaultRowHeight="14.5" x14ac:dyDescent="0.35"/>
  <cols>
    <col min="1" max="1" width="15" customWidth="1"/>
    <col min="2" max="2" width="40" customWidth="1"/>
    <col min="3" max="3" width="25" customWidth="1"/>
  </cols>
  <sheetData>
    <row r="1" spans="1:16" x14ac:dyDescent="0.35">
      <c r="A1" s="6">
        <v>0.25</v>
      </c>
      <c r="B1" t="s">
        <v>47</v>
      </c>
      <c r="C1" t="s">
        <v>46</v>
      </c>
    </row>
    <row r="2" spans="1:16" ht="21" x14ac:dyDescent="0.5">
      <c r="E2" s="5" t="s">
        <v>91</v>
      </c>
      <c r="M2" s="5"/>
      <c r="N2" s="5"/>
    </row>
    <row r="3" spans="1:16" ht="21" x14ac:dyDescent="0.5">
      <c r="A3" s="6">
        <v>0.5</v>
      </c>
      <c r="B3" t="s">
        <v>49</v>
      </c>
      <c r="E3" s="5"/>
      <c r="F3" s="5"/>
      <c r="G3" s="5"/>
      <c r="H3" s="5"/>
      <c r="I3" s="5"/>
      <c r="M3" s="14" t="s">
        <v>52</v>
      </c>
      <c r="N3" s="15"/>
      <c r="O3" s="16"/>
      <c r="P3" s="16"/>
    </row>
    <row r="4" spans="1:16" ht="21" x14ac:dyDescent="0.5">
      <c r="B4" t="s">
        <v>19</v>
      </c>
      <c r="L4" s="25" t="s">
        <v>38</v>
      </c>
      <c r="M4" s="25"/>
      <c r="N4" s="5" t="s">
        <v>39</v>
      </c>
    </row>
    <row r="5" spans="1:16" ht="21" x14ac:dyDescent="0.5">
      <c r="B5" t="s">
        <v>20</v>
      </c>
      <c r="C5" t="str">
        <f>ROUND('2. RESULTADOS'!$B$5/3/0.23, 0) &amp; " g"</f>
        <v>233 g</v>
      </c>
      <c r="L5" s="25" t="s">
        <v>40</v>
      </c>
      <c r="M5" s="29"/>
      <c r="N5" s="24" t="s">
        <v>41</v>
      </c>
      <c r="O5" s="25"/>
    </row>
    <row r="6" spans="1:16" ht="21" x14ac:dyDescent="0.5">
      <c r="B6" t="s">
        <v>21</v>
      </c>
      <c r="C6" t="str">
        <f>ROUND('2. RESULTADOS'!$B$5/3/0.2, 0) &amp; " g"</f>
        <v>268 g</v>
      </c>
      <c r="L6" s="25" t="s">
        <v>42</v>
      </c>
      <c r="M6" s="29"/>
      <c r="N6" s="24"/>
      <c r="O6" s="25"/>
    </row>
    <row r="7" spans="1:16" ht="21" x14ac:dyDescent="0.5">
      <c r="B7" t="s">
        <v>22</v>
      </c>
      <c r="C7" t="str">
        <f>ROUND('2. RESULTADOS'!$B$5/3/0.22, 0) &amp; " g"</f>
        <v>243 g</v>
      </c>
      <c r="L7" s="25" t="s">
        <v>43</v>
      </c>
      <c r="M7" s="29"/>
      <c r="N7" s="26" t="s">
        <v>44</v>
      </c>
      <c r="O7" s="27"/>
    </row>
    <row r="8" spans="1:16" ht="21" x14ac:dyDescent="0.5">
      <c r="B8" t="s">
        <v>23</v>
      </c>
      <c r="C8" t="str">
        <f>ROUND('2. RESULTADOS'!$B$5/3/6.5, 1) &amp; " pzas"</f>
        <v>8.2 pzas</v>
      </c>
      <c r="L8" s="25" t="s">
        <v>45</v>
      </c>
      <c r="M8" s="29"/>
      <c r="N8" s="26"/>
      <c r="O8" s="27"/>
    </row>
    <row r="9" spans="1:16" x14ac:dyDescent="0.35">
      <c r="B9" t="s">
        <v>92</v>
      </c>
    </row>
    <row r="10" spans="1:16" x14ac:dyDescent="0.35">
      <c r="A10" s="6">
        <v>0.70833333333333337</v>
      </c>
      <c r="B10" t="s">
        <v>50</v>
      </c>
    </row>
    <row r="11" spans="1:16" x14ac:dyDescent="0.35">
      <c r="B11" t="s">
        <v>19</v>
      </c>
    </row>
    <row r="12" spans="1:16" x14ac:dyDescent="0.35">
      <c r="B12" t="s">
        <v>20</v>
      </c>
      <c r="C12" t="str">
        <f>ROUND('2. RESULTADOS'!$B$5/3/0.23, 0) &amp; " g"</f>
        <v>233 g</v>
      </c>
    </row>
    <row r="13" spans="1:16" x14ac:dyDescent="0.35">
      <c r="B13" t="s">
        <v>21</v>
      </c>
      <c r="C13" t="str">
        <f>ROUND('2. RESULTADOS'!$B$5/3/0.2, 0) &amp; " g"</f>
        <v>268 g</v>
      </c>
    </row>
    <row r="14" spans="1:16" x14ac:dyDescent="0.35">
      <c r="B14" t="s">
        <v>22</v>
      </c>
      <c r="C14" t="str">
        <f>ROUND('2. RESULTADOS'!$B$5/3/0.22, 0) &amp; " g"</f>
        <v>243 g</v>
      </c>
    </row>
    <row r="15" spans="1:16" x14ac:dyDescent="0.35">
      <c r="B15" t="s">
        <v>23</v>
      </c>
      <c r="C15" t="str">
        <f>ROUND('2. RESULTADOS'!$B$5/3/6.5, 1) &amp; " pzas"</f>
        <v>8.2 pzas</v>
      </c>
    </row>
    <row r="16" spans="1:16" ht="21" x14ac:dyDescent="0.5">
      <c r="B16" t="s">
        <v>92</v>
      </c>
      <c r="J16" s="5"/>
      <c r="K16" s="5"/>
      <c r="L16" s="5"/>
      <c r="M16" s="5"/>
      <c r="N16" s="5"/>
    </row>
    <row r="17" spans="1:10" x14ac:dyDescent="0.35">
      <c r="A17" s="6">
        <v>0.83333333333333337</v>
      </c>
      <c r="B17" t="s">
        <v>51</v>
      </c>
    </row>
    <row r="18" spans="1:10" x14ac:dyDescent="0.35">
      <c r="B18" t="s">
        <v>19</v>
      </c>
    </row>
    <row r="19" spans="1:10" x14ac:dyDescent="0.35">
      <c r="B19" t="s">
        <v>20</v>
      </c>
      <c r="C19" t="str">
        <f>ROUND('2. RESULTADOS'!$B$5/3/0.23, 0) &amp; " g"</f>
        <v>233 g</v>
      </c>
    </row>
    <row r="20" spans="1:10" x14ac:dyDescent="0.35">
      <c r="B20" t="s">
        <v>21</v>
      </c>
      <c r="C20" t="str">
        <f>ROUND('2. RESULTADOS'!$B$5/3/0.2, 0) &amp; " g"</f>
        <v>268 g</v>
      </c>
    </row>
    <row r="21" spans="1:10" x14ac:dyDescent="0.35">
      <c r="B21" t="s">
        <v>22</v>
      </c>
      <c r="C21" t="str">
        <f>ROUND('2. RESULTADOS'!$B$5/3/0.22, 0) &amp; " g"</f>
        <v>243 g</v>
      </c>
    </row>
    <row r="22" spans="1:10" x14ac:dyDescent="0.35">
      <c r="B22" t="s">
        <v>23</v>
      </c>
      <c r="C22" t="str">
        <f>ROUND('2. RESULTADOS'!$B$5/3/6.5, 1) &amp; " pzas"</f>
        <v>8.2 pzas</v>
      </c>
    </row>
    <row r="23" spans="1:10" x14ac:dyDescent="0.35">
      <c r="B23" t="s">
        <v>92</v>
      </c>
    </row>
    <row r="24" spans="1:10" x14ac:dyDescent="0.35">
      <c r="A24" s="7">
        <v>0.875</v>
      </c>
      <c r="B24" s="31" t="s">
        <v>48</v>
      </c>
    </row>
    <row r="26" spans="1:10" ht="43.5" x14ac:dyDescent="0.35">
      <c r="B26" s="8" t="s">
        <v>37</v>
      </c>
      <c r="C26" s="9" t="s">
        <v>62</v>
      </c>
    </row>
    <row r="27" spans="1:10" ht="43.5" x14ac:dyDescent="0.35">
      <c r="B27" s="8" t="s">
        <v>61</v>
      </c>
      <c r="C27" s="9" t="s">
        <v>63</v>
      </c>
    </row>
    <row r="28" spans="1:10" ht="58" x14ac:dyDescent="0.35">
      <c r="B28" s="8" t="s">
        <v>64</v>
      </c>
      <c r="C28" s="9" t="s">
        <v>65</v>
      </c>
    </row>
    <row r="29" spans="1:10" ht="58" x14ac:dyDescent="0.35">
      <c r="B29" s="8" t="s">
        <v>66</v>
      </c>
      <c r="C29" s="9" t="s">
        <v>90</v>
      </c>
    </row>
    <row r="30" spans="1:10" x14ac:dyDescent="0.35">
      <c r="B30" s="28" t="s">
        <v>89</v>
      </c>
      <c r="C30" s="28"/>
      <c r="D30" s="28"/>
      <c r="E30" s="28"/>
      <c r="F30" s="28"/>
      <c r="G30" s="28"/>
      <c r="H30" s="28"/>
      <c r="I30" s="28"/>
      <c r="J30" s="28"/>
    </row>
  </sheetData>
  <mergeCells count="10">
    <mergeCell ref="L4:M4"/>
    <mergeCell ref="L5:M5"/>
    <mergeCell ref="L6:M6"/>
    <mergeCell ref="L7:M7"/>
    <mergeCell ref="L8:M8"/>
    <mergeCell ref="N5:O5"/>
    <mergeCell ref="N6:O6"/>
    <mergeCell ref="N7:O7"/>
    <mergeCell ref="N8:O8"/>
    <mergeCell ref="B30:J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C3" sqref="C3"/>
    </sheetView>
  </sheetViews>
  <sheetFormatPr baseColWidth="10" defaultColWidth="8.7265625" defaultRowHeight="14.5" x14ac:dyDescent="0.35"/>
  <cols>
    <col min="1" max="1" width="35" customWidth="1"/>
    <col min="2" max="2" width="45" customWidth="1"/>
  </cols>
  <sheetData>
    <row r="1" spans="1:4" x14ac:dyDescent="0.35">
      <c r="A1" s="19" t="s">
        <v>24</v>
      </c>
      <c r="B1" s="19"/>
    </row>
    <row r="2" spans="1:4" x14ac:dyDescent="0.35">
      <c r="A2" t="s">
        <v>25</v>
      </c>
      <c r="B2" t="s">
        <v>26</v>
      </c>
    </row>
    <row r="3" spans="1:4" x14ac:dyDescent="0.35">
      <c r="A3" s="2" t="s">
        <v>27</v>
      </c>
      <c r="B3" s="4" t="str">
        <f>ROUND('2. RESULTADOS'!$B$4/15, 0) &amp; " piezas"</f>
        <v>24 piezas</v>
      </c>
    </row>
    <row r="4" spans="1:4" x14ac:dyDescent="0.35">
      <c r="A4" s="2" t="s">
        <v>28</v>
      </c>
      <c r="B4" s="4" t="str">
        <f>ROUND(('2. RESULTADOS'!$B$4/15)*0.25, 1) &amp; " tazas"</f>
        <v>6.1 tazas</v>
      </c>
    </row>
    <row r="5" spans="1:4" x14ac:dyDescent="0.35">
      <c r="A5" s="2" t="s">
        <v>29</v>
      </c>
      <c r="B5" s="4" t="str">
        <f>ROUND(('2. RESULTADOS'!$B$4/15)*0.25, 1) &amp; " tazas"</f>
        <v>6.1 tazas</v>
      </c>
    </row>
    <row r="6" spans="1:4" x14ac:dyDescent="0.35">
      <c r="A6" s="2" t="s">
        <v>30</v>
      </c>
      <c r="B6" s="4" t="str">
        <f>ROUND(('2. RESULTADOS'!$B$4/15)*0.33, 1) &amp; " tazas"</f>
        <v>8 tazas</v>
      </c>
    </row>
    <row r="7" spans="1:4" x14ac:dyDescent="0.35">
      <c r="A7" s="2" t="s">
        <v>31</v>
      </c>
      <c r="B7" s="4" t="str">
        <f>ROUND(('2. RESULTADOS'!$B$4/15)*0.5, 1) &amp; " piezas"</f>
        <v>12.2 piezas</v>
      </c>
    </row>
    <row r="8" spans="1:4" x14ac:dyDescent="0.35">
      <c r="A8" s="2" t="s">
        <v>32</v>
      </c>
      <c r="B8" s="4" t="str">
        <f>ROUND(('2. RESULTADOS'!$B$4/15)*0.25, 1) &amp; " tazas"</f>
        <v>6.1 tazas</v>
      </c>
    </row>
    <row r="9" spans="1:4" x14ac:dyDescent="0.35">
      <c r="A9" s="2" t="s">
        <v>33</v>
      </c>
      <c r="B9" s="4" t="str">
        <f>ROUND(('2. RESULTADOS'!$B$4/15)*0.5, 1) &amp; " tazas"</f>
        <v>12.2 tazas</v>
      </c>
    </row>
    <row r="10" spans="1:4" x14ac:dyDescent="0.35">
      <c r="A10" s="2" t="s">
        <v>34</v>
      </c>
      <c r="B10" s="4" t="str">
        <f>ROUND('2. RESULTADOS'!$B$4/15, 0) &amp; " rebanadas"</f>
        <v>24 rebanadas</v>
      </c>
    </row>
    <row r="11" spans="1:4" x14ac:dyDescent="0.35">
      <c r="A11" s="2" t="s">
        <v>35</v>
      </c>
      <c r="B11" s="4" t="str">
        <f>ROUND(('2. RESULTADOS'!$B$4/15)*0.33, 1) &amp; " pieza(s)"</f>
        <v>8 pieza(s)</v>
      </c>
    </row>
    <row r="12" spans="1:4" x14ac:dyDescent="0.35">
      <c r="A12" s="2" t="s">
        <v>36</v>
      </c>
      <c r="B12" s="4" t="str">
        <f>ROUND('2. RESULTADOS'!$B$4/15, 0) &amp; " porciones/piezas"</f>
        <v>24 porciones/piezas</v>
      </c>
    </row>
    <row r="14" spans="1:4" x14ac:dyDescent="0.35">
      <c r="A14" s="20" t="s">
        <v>67</v>
      </c>
      <c r="B14" s="20"/>
      <c r="C14" s="20"/>
      <c r="D14" s="20"/>
    </row>
  </sheetData>
  <mergeCells count="2">
    <mergeCell ref="A1:B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72B4-35DB-41D1-B704-3C41D8F974C8}">
  <dimension ref="A1:D10"/>
  <sheetViews>
    <sheetView workbookViewId="0">
      <selection activeCell="I11" sqref="I11"/>
    </sheetView>
  </sheetViews>
  <sheetFormatPr baseColWidth="10" defaultRowHeight="14.5" x14ac:dyDescent="0.35"/>
  <sheetData>
    <row r="1" spans="1:4" x14ac:dyDescent="0.35">
      <c r="A1" t="s">
        <v>74</v>
      </c>
    </row>
    <row r="2" spans="1:4" x14ac:dyDescent="0.35">
      <c r="A2" s="30" t="s">
        <v>70</v>
      </c>
      <c r="B2" s="30"/>
      <c r="C2" s="30"/>
      <c r="D2" s="10" t="s">
        <v>78</v>
      </c>
    </row>
    <row r="3" spans="1:4" x14ac:dyDescent="0.35">
      <c r="A3" s="30" t="s">
        <v>71</v>
      </c>
      <c r="B3" s="30"/>
      <c r="C3" s="30"/>
    </row>
    <row r="4" spans="1:4" x14ac:dyDescent="0.35">
      <c r="A4" s="30" t="s">
        <v>72</v>
      </c>
      <c r="B4" s="30"/>
      <c r="C4" s="30"/>
    </row>
    <row r="5" spans="1:4" x14ac:dyDescent="0.35">
      <c r="A5" s="30" t="s">
        <v>73</v>
      </c>
      <c r="B5" s="30"/>
      <c r="C5" s="30"/>
    </row>
    <row r="6" spans="1:4" x14ac:dyDescent="0.35">
      <c r="A6" s="30" t="s">
        <v>68</v>
      </c>
      <c r="B6" s="30"/>
      <c r="C6" s="30"/>
    </row>
    <row r="7" spans="1:4" x14ac:dyDescent="0.35">
      <c r="A7" s="30" t="s">
        <v>75</v>
      </c>
      <c r="B7" s="30"/>
      <c r="C7" s="30"/>
    </row>
    <row r="8" spans="1:4" x14ac:dyDescent="0.35">
      <c r="A8" s="30" t="s">
        <v>77</v>
      </c>
      <c r="B8" s="30"/>
      <c r="C8" s="30"/>
    </row>
    <row r="9" spans="1:4" x14ac:dyDescent="0.35">
      <c r="A9" s="30" t="s">
        <v>76</v>
      </c>
      <c r="B9" s="30"/>
      <c r="C9" s="30"/>
    </row>
    <row r="10" spans="1:4" x14ac:dyDescent="0.35">
      <c r="A10" s="30" t="s">
        <v>69</v>
      </c>
      <c r="B10" s="30"/>
      <c r="C10" s="30"/>
    </row>
  </sheetData>
  <mergeCells count="9">
    <mergeCell ref="A7:C7"/>
    <mergeCell ref="A8:C8"/>
    <mergeCell ref="A9:C9"/>
    <mergeCell ref="A10:C10"/>
    <mergeCell ref="A2:C2"/>
    <mergeCell ref="A3:C3"/>
    <mergeCell ref="A4:C4"/>
    <mergeCell ref="A5:C5"/>
    <mergeCell ref="A6:C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DATOS</vt:lpstr>
      <vt:lpstr>2. RESULTADOS</vt:lpstr>
      <vt:lpstr>3. GUÍA ALIMENTACIÓN</vt:lpstr>
      <vt:lpstr>4. EQUIVALENCIAS CARBS</vt:lpstr>
      <vt:lpstr>Suplementos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Jesus Lezama Alamillo - Alumno</cp:lastModifiedBy>
  <dcterms:created xsi:type="dcterms:W3CDTF">2026-04-15T03:16:46Z</dcterms:created>
  <dcterms:modified xsi:type="dcterms:W3CDTF">2026-04-17T03:40:58Z</dcterms:modified>
</cp:coreProperties>
</file>