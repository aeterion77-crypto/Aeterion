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13_ncr:1_{1B2E02B9-60AD-4C1A-BC14-36F0800A20E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1. DATOS" sheetId="1" r:id="rId1"/>
    <sheet name="2. RESULTADOS" sheetId="2" r:id="rId2"/>
    <sheet name="3. GUIA ALIMENTACION" sheetId="3" r:id="rId3"/>
    <sheet name="4. LISTAS ALIMENTOS" sheetId="4" r:id="rId4"/>
    <sheet name="5. EQUIVALENCIAS CARB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6" i="2" s="1"/>
  <c r="B4" i="2" l="1"/>
  <c r="B5" i="2"/>
  <c r="C24" i="3" l="1"/>
  <c r="C4" i="3"/>
  <c r="C14" i="3"/>
  <c r="C13" i="3"/>
  <c r="C26" i="3"/>
  <c r="C6" i="3"/>
  <c r="C25" i="3"/>
  <c r="C5" i="3"/>
  <c r="C23" i="3"/>
  <c r="C3" i="3"/>
  <c r="C16" i="3"/>
  <c r="C15" i="3"/>
  <c r="C8" i="5"/>
  <c r="C4" i="5"/>
  <c r="B4" i="5"/>
  <c r="B8" i="5"/>
  <c r="C7" i="5"/>
  <c r="B7" i="5"/>
  <c r="C6" i="5"/>
  <c r="B6" i="5"/>
  <c r="C5" i="5"/>
  <c r="B5" i="5"/>
  <c r="C3" i="5"/>
  <c r="B3" i="5"/>
  <c r="C2" i="5"/>
  <c r="B2" i="5"/>
</calcChain>
</file>

<file path=xl/sharedStrings.xml><?xml version="1.0" encoding="utf-8"?>
<sst xmlns="http://schemas.openxmlformats.org/spreadsheetml/2006/main" count="93" uniqueCount="81">
  <si>
    <t>SISTEMA AETERION - INPUT SII</t>
  </si>
  <si>
    <t>Peso (kg)</t>
  </si>
  <si>
    <t>Estatura (cm)</t>
  </si>
  <si>
    <t>Edad</t>
  </si>
  <si>
    <t>Sexo (1=M, 0=F)</t>
  </si>
  <si>
    <t>Actividad (1.2-1.9)</t>
  </si>
  <si>
    <t>Objetivo (1, 2, 3)</t>
  </si>
  <si>
    <t>DASHBOARD SII (LOW FODMAP)</t>
  </si>
  <si>
    <t>METRICA</t>
  </si>
  <si>
    <t>GRAMOS TOTALES</t>
  </si>
  <si>
    <t>PORCENTAJE</t>
  </si>
  <si>
    <t>Calorías Totales</t>
  </si>
  <si>
    <t>100%</t>
  </si>
  <si>
    <t>Carbohidratos</t>
  </si>
  <si>
    <t>50%</t>
  </si>
  <si>
    <t>Proteína</t>
  </si>
  <si>
    <t>22%</t>
  </si>
  <si>
    <t>Grasas</t>
  </si>
  <si>
    <t>28%</t>
  </si>
  <si>
    <t>08:00 AM</t>
  </si>
  <si>
    <t>DESAYUNO</t>
  </si>
  <si>
    <t>PROTEÍNA (ELEGIR 1 - PESAR EN CRUDO):</t>
  </si>
  <si>
    <t>Pechuga de Pollo</t>
  </si>
  <si>
    <t>Pescado Blanco</t>
  </si>
  <si>
    <t>Res Magra</t>
  </si>
  <si>
    <t>Huevos Enteros</t>
  </si>
  <si>
    <t>02:00 PM</t>
  </si>
  <si>
    <t>COMIDA</t>
  </si>
  <si>
    <t>08:00 PM</t>
  </si>
  <si>
    <t>CENA</t>
  </si>
  <si>
    <t>FRUTAS SEGURAS (OK)</t>
  </si>
  <si>
    <t>Papaya, Melón, Fresa, Kiwi, Piña, Mandarina, Naranja, Plátano (firme).</t>
  </si>
  <si>
    <t>FRUTAS A EVITAR (NO)</t>
  </si>
  <si>
    <t>Manzana, Pera, Sandía, Mango, Durazno, Frutas secas, Ciruelas.</t>
  </si>
  <si>
    <t>VERDURAS SEGURAS (OK)</t>
  </si>
  <si>
    <t>Zanahoria, Calabacita, Chayote, Espinaca, Ejotes, Pepino (sin semillas), Berenjena, Nopal.</t>
  </si>
  <si>
    <t>VERDURAS A EVITAR (NO)</t>
  </si>
  <si>
    <t>Brócoli, Coliflor, Cebolla, Ajo, Alcachofa, Espárragos, Champiñones, Col.</t>
  </si>
  <si>
    <t>LÁCTEOS Y SUSTITUTOS</t>
  </si>
  <si>
    <t>Leche deslactosada, Quesos maduros (parmesano), Leche de almendra/coco.</t>
  </si>
  <si>
    <t>CEREALES SEGUROS</t>
  </si>
  <si>
    <t>Tortilla de Maíz, Arroz blanco, Papa (sin cáscara), Camote, Quinoa, Galletas de arroz.</t>
  </si>
  <si>
    <t>CARBOHIDRATO (BAJO FODMAP)</t>
  </si>
  <si>
    <t>TOTAL AL DÍA</t>
  </si>
  <si>
    <t>POR COMIDA (3 Tiempos)</t>
  </si>
  <si>
    <t>Tortilla de Maíz nixtamalizada</t>
  </si>
  <si>
    <t>Arroz Blanco cocido</t>
  </si>
  <si>
    <t>Papa cocida (sin cáscara)</t>
  </si>
  <si>
    <t>Quinoa cocida</t>
  </si>
  <si>
    <t>Camote cocido</t>
  </si>
  <si>
    <t>Avena (ración controlada)</t>
  </si>
  <si>
    <t>Fruta Segura (1 ración)</t>
  </si>
  <si>
    <t>1. Ingresa datos en celdas AZULES.</t>
  </si>
  <si>
    <t>2. Factor Actividad:</t>
  </si>
  <si>
    <t xml:space="preserve">   1.2 Sedentario</t>
  </si>
  <si>
    <t xml:space="preserve">   1.375 Ligero (1-3 días)</t>
  </si>
  <si>
    <t xml:space="preserve">   1.55 Moderado (3-5 días)</t>
  </si>
  <si>
    <t xml:space="preserve">   1.725 Fuerte (6-7 días)             </t>
  </si>
  <si>
    <t>1.9 Atleta (2 veces al dia)</t>
  </si>
  <si>
    <t>3. El sistema calcula macros basados en evidencia clínica AMDR/ADA.</t>
  </si>
  <si>
    <t>Objetivo:</t>
  </si>
  <si>
    <t>RECOMENDACIÓN: Mas importa el porcentaje de grasa corporal y visceral que el peso. Checa estos parametros y cintura.</t>
  </si>
  <si>
    <t>1: Perdida de grasa.</t>
  </si>
  <si>
    <t>Cintura hombre: Menor a 94cm.</t>
  </si>
  <si>
    <t>MAYOR A ESOS VALORES, MAS RIESGO</t>
  </si>
  <si>
    <t>2: Mantenimiento.</t>
  </si>
  <si>
    <t>Cintura mujer: Menor a 80cm.</t>
  </si>
  <si>
    <t>3: Ganancia muscular.</t>
  </si>
  <si>
    <t>Grasa corporal saludable hombre: 14-17%. Mas de 25%= Obesidad.</t>
  </si>
  <si>
    <t xml:space="preserve">Grasa corporal saludable mujer: 21-24%. Mas de 32%= Obesidad. </t>
  </si>
  <si>
    <t>VERDURAS (1-2 tazas) Zanahoria, Calabacita, Chayote, Espinaca, Ejotes, Pepino (sin semillas), Berenjena, Nopal.</t>
  </si>
  <si>
    <t>A PARTIR DE ESTA HORA SE RECOMIENDA NO CONSUMIR MAS ALIMENTO</t>
  </si>
  <si>
    <t>LÍQUIDOS</t>
  </si>
  <si>
    <t>Solo agua, jamaica, té o café (Sin azucar o edulcorante).</t>
  </si>
  <si>
    <t>COCCIÓN</t>
  </si>
  <si>
    <t>Usar spray de oliva (PAM), evitar freír, sal a considerar.</t>
  </si>
  <si>
    <t>PROHIBIDO/ NO RECOMENDADO</t>
  </si>
  <si>
    <t>Embutidos, aderezos (ketchup/mayo), refrescos, alimentos ultra procesados.</t>
  </si>
  <si>
    <t xml:space="preserve">FIBRA </t>
  </si>
  <si>
    <t xml:space="preserve">Alimentos altos en fibra o suplementar con Psyllium. Chia y linaza opciones considerables (Consultar dosis seguras). </t>
  </si>
  <si>
    <t>IMPORTANTE LLEGAR AL REQUERIMIENTO DE FIBRA DIARIO PARA BUENA SALUD INTESTINAL Y COLORRECTAL.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</si>
</sst>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5A059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C5A059"/>
        <bgColor rgb="FFC5A05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E1E6F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1A1A1A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indent="1"/>
    </xf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vertical="top" wrapText="1" indent="1"/>
    </xf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4" fillId="5" borderId="0" xfId="0" applyFont="1" applyFill="1"/>
    <xf numFmtId="0" fontId="0" fillId="6" borderId="1" xfId="0" applyFill="1" applyBorder="1" applyAlignment="1">
      <alignment horizontal="center" vertical="center"/>
    </xf>
    <xf numFmtId="0" fontId="0" fillId="0" borderId="0" xfId="0" applyAlignment="1"/>
    <xf numFmtId="18" fontId="0" fillId="7" borderId="0" xfId="0" applyNumberFormat="1" applyFill="1"/>
    <xf numFmtId="0" fontId="3" fillId="0" borderId="0" xfId="0" applyFont="1"/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B13" sqref="B13"/>
    </sheetView>
  </sheetViews>
  <sheetFormatPr baseColWidth="10" defaultColWidth="8.7265625" defaultRowHeight="14.5" x14ac:dyDescent="0.35"/>
  <cols>
    <col min="1" max="1" width="30" customWidth="1"/>
    <col min="2" max="2" width="15" customWidth="1"/>
  </cols>
  <sheetData>
    <row r="1" spans="1:18" x14ac:dyDescent="0.35">
      <c r="A1" t="s">
        <v>0</v>
      </c>
    </row>
    <row r="2" spans="1:18" x14ac:dyDescent="0.35">
      <c r="A2" s="1" t="s">
        <v>1</v>
      </c>
      <c r="B2" s="15">
        <v>72</v>
      </c>
      <c r="D2" s="9" t="s">
        <v>52</v>
      </c>
      <c r="E2" s="10"/>
      <c r="F2" s="10"/>
      <c r="G2" s="9"/>
      <c r="H2" s="9"/>
      <c r="I2" s="9"/>
      <c r="J2" s="9"/>
    </row>
    <row r="3" spans="1:18" x14ac:dyDescent="0.35">
      <c r="A3" s="1" t="s">
        <v>2</v>
      </c>
      <c r="B3" s="15">
        <v>170</v>
      </c>
      <c r="D3" s="9" t="s">
        <v>53</v>
      </c>
      <c r="E3" s="9"/>
      <c r="F3" s="9"/>
      <c r="G3" s="9"/>
      <c r="H3" s="9"/>
      <c r="I3" s="9"/>
      <c r="J3" s="9"/>
    </row>
    <row r="4" spans="1:18" x14ac:dyDescent="0.35">
      <c r="A4" s="1" t="s">
        <v>3</v>
      </c>
      <c r="B4" s="15">
        <v>21</v>
      </c>
      <c r="D4" s="9" t="s">
        <v>54</v>
      </c>
      <c r="E4" s="9"/>
      <c r="F4" s="9"/>
      <c r="G4" s="9"/>
      <c r="H4" s="9"/>
      <c r="I4" s="9"/>
      <c r="J4" s="9"/>
    </row>
    <row r="5" spans="1:18" x14ac:dyDescent="0.35">
      <c r="A5" s="1" t="s">
        <v>4</v>
      </c>
      <c r="B5" s="15">
        <v>1</v>
      </c>
      <c r="D5" s="9" t="s">
        <v>55</v>
      </c>
      <c r="E5" s="9"/>
      <c r="F5" s="9"/>
      <c r="G5" s="9"/>
      <c r="H5" s="9"/>
      <c r="I5" s="9"/>
      <c r="J5" s="9"/>
    </row>
    <row r="6" spans="1:18" x14ac:dyDescent="0.35">
      <c r="A6" s="1" t="s">
        <v>5</v>
      </c>
      <c r="B6" s="15">
        <v>1.375</v>
      </c>
      <c r="D6" s="9" t="s">
        <v>56</v>
      </c>
      <c r="E6" s="9"/>
      <c r="F6" s="9"/>
      <c r="G6" s="9"/>
      <c r="H6" s="9"/>
      <c r="I6" s="9"/>
      <c r="J6" s="9"/>
    </row>
    <row r="7" spans="1:18" x14ac:dyDescent="0.35">
      <c r="A7" s="1" t="s">
        <v>6</v>
      </c>
      <c r="B7" s="15">
        <v>1</v>
      </c>
      <c r="D7" s="9" t="s">
        <v>57</v>
      </c>
      <c r="E7" s="9"/>
      <c r="F7" s="9"/>
      <c r="G7" s="9"/>
      <c r="H7" s="9"/>
      <c r="I7" s="9"/>
      <c r="J7" s="9"/>
    </row>
    <row r="8" spans="1:18" x14ac:dyDescent="0.35">
      <c r="D8" s="9" t="s">
        <v>58</v>
      </c>
      <c r="E8" s="9"/>
      <c r="F8" s="9"/>
      <c r="G8" s="9"/>
      <c r="H8" s="9"/>
      <c r="I8" s="9"/>
      <c r="J8" s="9"/>
    </row>
    <row r="9" spans="1:18" x14ac:dyDescent="0.35">
      <c r="D9" s="9" t="s">
        <v>59</v>
      </c>
      <c r="E9" s="9"/>
      <c r="F9" s="9"/>
      <c r="G9" s="9"/>
      <c r="H9" s="9"/>
      <c r="I9" s="9"/>
      <c r="J9" s="9"/>
    </row>
    <row r="11" spans="1:18" x14ac:dyDescent="0.35">
      <c r="D11" s="11" t="s">
        <v>60</v>
      </c>
      <c r="E11" s="11"/>
      <c r="G11" s="12" t="s">
        <v>61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5">
      <c r="D12" s="11" t="s">
        <v>62</v>
      </c>
      <c r="E12" s="11"/>
      <c r="G12" s="13" t="s">
        <v>63</v>
      </c>
      <c r="H12" s="13"/>
      <c r="I12" s="13"/>
      <c r="J12" s="12"/>
      <c r="K12" s="14" t="s">
        <v>64</v>
      </c>
      <c r="L12" s="12"/>
      <c r="M12" s="12"/>
      <c r="N12" s="12"/>
      <c r="O12" s="12"/>
      <c r="P12" s="12"/>
      <c r="Q12" s="12"/>
      <c r="R12" s="12"/>
    </row>
    <row r="13" spans="1:18" x14ac:dyDescent="0.35">
      <c r="D13" s="11" t="s">
        <v>65</v>
      </c>
      <c r="E13" s="11"/>
      <c r="G13" s="13" t="s">
        <v>66</v>
      </c>
      <c r="H13" s="13"/>
      <c r="I13" s="13"/>
      <c r="J13" s="12"/>
      <c r="K13" s="12"/>
      <c r="L13" s="12"/>
      <c r="M13" s="12"/>
      <c r="N13" s="12"/>
      <c r="O13" s="12"/>
      <c r="P13" s="12"/>
      <c r="Q13" s="12"/>
      <c r="R13" s="12"/>
    </row>
    <row r="14" spans="1:18" x14ac:dyDescent="0.35">
      <c r="D14" s="11" t="s">
        <v>67</v>
      </c>
      <c r="E14" s="11"/>
      <c r="G14" s="12" t="s">
        <v>68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35">
      <c r="G15" s="12" t="s">
        <v>69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</sheetData>
  <mergeCells count="6">
    <mergeCell ref="D11:E11"/>
    <mergeCell ref="D12:E12"/>
    <mergeCell ref="G12:I12"/>
    <mergeCell ref="D13:E13"/>
    <mergeCell ref="G13:I13"/>
    <mergeCell ref="D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baseColWidth="10" defaultColWidth="8.7265625" defaultRowHeight="14.5" x14ac:dyDescent="0.35"/>
  <cols>
    <col min="1" max="1" width="25" customWidth="1"/>
    <col min="2" max="2" width="20" customWidth="1"/>
    <col min="3" max="3" width="15" customWidth="1"/>
  </cols>
  <sheetData>
    <row r="1" spans="1:3" x14ac:dyDescent="0.35">
      <c r="A1" s="7" t="s">
        <v>7</v>
      </c>
      <c r="B1" s="8"/>
      <c r="C1" s="8"/>
    </row>
    <row r="2" spans="1:3" x14ac:dyDescent="0.35">
      <c r="A2" s="2" t="s">
        <v>8</v>
      </c>
      <c r="B2" t="s">
        <v>9</v>
      </c>
      <c r="C2" t="s">
        <v>10</v>
      </c>
    </row>
    <row r="3" spans="1:3" x14ac:dyDescent="0.35">
      <c r="A3" s="2" t="s">
        <v>11</v>
      </c>
      <c r="B3">
        <f>((10*'1. DATOS'!B2)+(6.25*'1. DATOS'!B3)-(5*'1. DATOS'!B4)+IF('1. DATOS'!B5=1,5,-161))*'1. DATOS'!B6*IF('1. DATOS'!B7=1,0.85,IF('1. DATOS'!B7=3,1.1,1))</f>
        <v>1966.421875</v>
      </c>
      <c r="C3" t="s">
        <v>12</v>
      </c>
    </row>
    <row r="4" spans="1:3" x14ac:dyDescent="0.35">
      <c r="A4" s="2" t="s">
        <v>13</v>
      </c>
      <c r="B4">
        <f>B3*0.5/4</f>
        <v>245.802734375</v>
      </c>
      <c r="C4" t="s">
        <v>14</v>
      </c>
    </row>
    <row r="5" spans="1:3" x14ac:dyDescent="0.35">
      <c r="A5" s="2" t="s">
        <v>15</v>
      </c>
      <c r="B5">
        <f>B3*0.22/4</f>
        <v>108.153203125</v>
      </c>
      <c r="C5" t="s">
        <v>16</v>
      </c>
    </row>
    <row r="6" spans="1:3" x14ac:dyDescent="0.35">
      <c r="A6" s="2" t="s">
        <v>17</v>
      </c>
      <c r="B6">
        <f>B3*0.28/9</f>
        <v>61.177569444444458</v>
      </c>
      <c r="C6" t="s">
        <v>18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A35" sqref="A35:I35"/>
    </sheetView>
  </sheetViews>
  <sheetFormatPr baseColWidth="10" defaultColWidth="8.7265625" defaultRowHeight="14.5" x14ac:dyDescent="0.35"/>
  <cols>
    <col min="1" max="1" width="18" customWidth="1"/>
    <col min="2" max="2" width="50" customWidth="1"/>
    <col min="3" max="3" width="25" customWidth="1"/>
  </cols>
  <sheetData>
    <row r="1" spans="1:4" x14ac:dyDescent="0.35">
      <c r="A1" s="2" t="s">
        <v>19</v>
      </c>
      <c r="B1" s="3" t="s">
        <v>20</v>
      </c>
    </row>
    <row r="2" spans="1:4" x14ac:dyDescent="0.35">
      <c r="B2" t="s">
        <v>21</v>
      </c>
    </row>
    <row r="3" spans="1:4" x14ac:dyDescent="0.35">
      <c r="B3" t="s">
        <v>22</v>
      </c>
      <c r="C3" t="str">
        <f>ROUND('2. RESULTADOS'!$B$5/3/0.23, 0) &amp; " g"</f>
        <v>157 g</v>
      </c>
    </row>
    <row r="4" spans="1:4" x14ac:dyDescent="0.35">
      <c r="B4" t="s">
        <v>23</v>
      </c>
      <c r="C4" t="str">
        <f>ROUND('2. RESULTADOS'!$B$5/3/0.2, 0) &amp; " g"</f>
        <v>180 g</v>
      </c>
    </row>
    <row r="5" spans="1:4" x14ac:dyDescent="0.35">
      <c r="B5" t="s">
        <v>24</v>
      </c>
      <c r="C5" t="str">
        <f>ROUND('2. RESULTADOS'!$B$5/3/0.22, 0) &amp; " g"</f>
        <v>164 g</v>
      </c>
    </row>
    <row r="6" spans="1:4" x14ac:dyDescent="0.35">
      <c r="B6" t="s">
        <v>25</v>
      </c>
      <c r="C6" t="str">
        <f>ROUND('2. RESULTADOS'!$B$5/3/6.5, 1) &amp; " pzas"</f>
        <v>5.5 pzas</v>
      </c>
    </row>
    <row r="7" spans="1:4" x14ac:dyDescent="0.35">
      <c r="B7" s="16" t="s">
        <v>70</v>
      </c>
      <c r="C7" s="16"/>
      <c r="D7" s="16"/>
    </row>
    <row r="11" spans="1:4" x14ac:dyDescent="0.35">
      <c r="A11" s="2" t="s">
        <v>26</v>
      </c>
      <c r="B11" s="3" t="s">
        <v>27</v>
      </c>
    </row>
    <row r="12" spans="1:4" x14ac:dyDescent="0.35">
      <c r="B12" t="s">
        <v>21</v>
      </c>
    </row>
    <row r="13" spans="1:4" x14ac:dyDescent="0.35">
      <c r="B13" t="s">
        <v>22</v>
      </c>
      <c r="C13" t="str">
        <f>ROUND('2. RESULTADOS'!$B$5/3/0.23, 0) &amp; " g"</f>
        <v>157 g</v>
      </c>
    </row>
    <row r="14" spans="1:4" x14ac:dyDescent="0.35">
      <c r="B14" t="s">
        <v>23</v>
      </c>
      <c r="C14" t="str">
        <f>ROUND('2. RESULTADOS'!$B$5/3/0.2, 0) &amp; " g"</f>
        <v>180 g</v>
      </c>
    </row>
    <row r="15" spans="1:4" x14ac:dyDescent="0.35">
      <c r="B15" t="s">
        <v>24</v>
      </c>
      <c r="C15" t="str">
        <f>ROUND('2. RESULTADOS'!$B$5/3/0.22, 0) &amp; " g"</f>
        <v>164 g</v>
      </c>
    </row>
    <row r="16" spans="1:4" x14ac:dyDescent="0.35">
      <c r="B16" t="s">
        <v>25</v>
      </c>
      <c r="C16" t="str">
        <f>ROUND('2. RESULTADOS'!$B$5/3/6.5, 1) &amp; " pzas"</f>
        <v>5.5 pzas</v>
      </c>
    </row>
    <row r="17" spans="1:4" x14ac:dyDescent="0.35">
      <c r="B17" s="16" t="s">
        <v>70</v>
      </c>
      <c r="C17" s="16"/>
      <c r="D17" s="16"/>
    </row>
    <row r="21" spans="1:4" x14ac:dyDescent="0.35">
      <c r="A21" s="2" t="s">
        <v>28</v>
      </c>
      <c r="B21" s="3" t="s">
        <v>29</v>
      </c>
    </row>
    <row r="22" spans="1:4" x14ac:dyDescent="0.35">
      <c r="B22" t="s">
        <v>21</v>
      </c>
    </row>
    <row r="23" spans="1:4" x14ac:dyDescent="0.35">
      <c r="B23" t="s">
        <v>22</v>
      </c>
      <c r="C23" t="str">
        <f>ROUND('2. RESULTADOS'!$B$5/3/0.23, 0) &amp; " g"</f>
        <v>157 g</v>
      </c>
    </row>
    <row r="24" spans="1:4" x14ac:dyDescent="0.35">
      <c r="B24" t="s">
        <v>23</v>
      </c>
      <c r="C24" t="str">
        <f>ROUND('2. RESULTADOS'!$B$5/3/0.2, 0) &amp; " g"</f>
        <v>180 g</v>
      </c>
    </row>
    <row r="25" spans="1:4" x14ac:dyDescent="0.35">
      <c r="B25" t="s">
        <v>24</v>
      </c>
      <c r="C25" t="str">
        <f>ROUND('2. RESULTADOS'!$B$5/3/0.22, 0) &amp; " g"</f>
        <v>164 g</v>
      </c>
    </row>
    <row r="26" spans="1:4" x14ac:dyDescent="0.35">
      <c r="B26" t="s">
        <v>25</v>
      </c>
      <c r="C26" t="str">
        <f>ROUND('2. RESULTADOS'!$B$5/3/6.5, 1) &amp; " pzas"</f>
        <v>5.5 pzas</v>
      </c>
    </row>
    <row r="27" spans="1:4" x14ac:dyDescent="0.35">
      <c r="B27" s="16" t="s">
        <v>70</v>
      </c>
      <c r="C27" s="16"/>
      <c r="D27" s="16"/>
    </row>
    <row r="28" spans="1:4" x14ac:dyDescent="0.35">
      <c r="A28" s="17">
        <v>0.83333333333333337</v>
      </c>
      <c r="B28" s="18" t="s">
        <v>71</v>
      </c>
    </row>
    <row r="31" spans="1:4" x14ac:dyDescent="0.35">
      <c r="A31" s="2" t="s">
        <v>72</v>
      </c>
      <c r="B31" s="4" t="s">
        <v>73</v>
      </c>
    </row>
    <row r="32" spans="1:4" x14ac:dyDescent="0.35">
      <c r="A32" s="2" t="s">
        <v>74</v>
      </c>
      <c r="B32" s="4" t="s">
        <v>75</v>
      </c>
    </row>
    <row r="33" spans="1:9" ht="29" x14ac:dyDescent="0.35">
      <c r="A33" s="2" t="s">
        <v>76</v>
      </c>
      <c r="B33" s="4" t="s">
        <v>77</v>
      </c>
    </row>
    <row r="34" spans="1:9" ht="43.5" x14ac:dyDescent="0.35">
      <c r="A34" s="2" t="s">
        <v>78</v>
      </c>
      <c r="B34" s="4" t="s">
        <v>79</v>
      </c>
    </row>
    <row r="35" spans="1:9" x14ac:dyDescent="0.35">
      <c r="A35" s="19" t="s">
        <v>80</v>
      </c>
      <c r="B35" s="19"/>
      <c r="C35" s="19"/>
      <c r="D35" s="19"/>
      <c r="E35" s="19"/>
      <c r="F35" s="19"/>
      <c r="G35" s="19"/>
      <c r="H35" s="19"/>
      <c r="I35" s="19"/>
    </row>
  </sheetData>
  <mergeCells count="1">
    <mergeCell ref="A35:I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5" sqref="B5"/>
    </sheetView>
  </sheetViews>
  <sheetFormatPr baseColWidth="10" defaultColWidth="8.7265625" defaultRowHeight="14.5" x14ac:dyDescent="0.35"/>
  <cols>
    <col min="1" max="1" width="25" customWidth="1"/>
    <col min="2" max="2" width="65" customWidth="1"/>
  </cols>
  <sheetData>
    <row r="1" spans="1:2" x14ac:dyDescent="0.35">
      <c r="A1" s="2" t="s">
        <v>30</v>
      </c>
      <c r="B1" s="4" t="s">
        <v>31</v>
      </c>
    </row>
    <row r="3" spans="1:2" x14ac:dyDescent="0.35">
      <c r="A3" s="2" t="s">
        <v>32</v>
      </c>
      <c r="B3" s="4" t="s">
        <v>33</v>
      </c>
    </row>
    <row r="5" spans="1:2" ht="29" x14ac:dyDescent="0.35">
      <c r="A5" s="2" t="s">
        <v>34</v>
      </c>
      <c r="B5" s="4" t="s">
        <v>35</v>
      </c>
    </row>
    <row r="7" spans="1:2" x14ac:dyDescent="0.35">
      <c r="A7" s="2" t="s">
        <v>36</v>
      </c>
      <c r="B7" s="4" t="s">
        <v>37</v>
      </c>
    </row>
    <row r="9" spans="1:2" ht="29" x14ac:dyDescent="0.35">
      <c r="A9" s="2" t="s">
        <v>38</v>
      </c>
      <c r="B9" s="4" t="s">
        <v>39</v>
      </c>
    </row>
    <row r="11" spans="1:2" ht="29" x14ac:dyDescent="0.35">
      <c r="A11" s="2" t="s">
        <v>40</v>
      </c>
      <c r="B11" s="4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K22" sqref="K22"/>
    </sheetView>
  </sheetViews>
  <sheetFormatPr baseColWidth="10" defaultColWidth="8.7265625" defaultRowHeight="14.5" x14ac:dyDescent="0.35"/>
  <cols>
    <col min="1" max="1" width="35" customWidth="1"/>
    <col min="2" max="3" width="30" customWidth="1"/>
  </cols>
  <sheetData>
    <row r="1" spans="1:3" x14ac:dyDescent="0.35">
      <c r="A1" s="5" t="s">
        <v>42</v>
      </c>
      <c r="B1" s="5" t="s">
        <v>43</v>
      </c>
      <c r="C1" s="6" t="s">
        <v>44</v>
      </c>
    </row>
    <row r="2" spans="1:3" x14ac:dyDescent="0.35">
      <c r="A2" t="s">
        <v>45</v>
      </c>
      <c r="B2" t="str">
        <f>ROUND('2. RESULTADOS'!$B$4/15*1, 1) &amp; " piezas/tazas"</f>
        <v>16.4 piezas/tazas</v>
      </c>
      <c r="C2" t="str">
        <f>ROUND(('2. RESULTADOS'!$B$4/3)/15*1, 1) &amp; " piezas/tazas"</f>
        <v>5.5 piezas/tazas</v>
      </c>
    </row>
    <row r="3" spans="1:3" x14ac:dyDescent="0.35">
      <c r="A3" t="s">
        <v>46</v>
      </c>
      <c r="B3" t="str">
        <f>ROUND('2. RESULTADOS'!$B$4/15*0.25, 1) &amp; " piezas/tazas"</f>
        <v>4.1 piezas/tazas</v>
      </c>
      <c r="C3" t="str">
        <f>ROUND(('2. RESULTADOS'!$B$4/3)/15*0.25, 1) &amp; " piezas/tazas"</f>
        <v>1.4 piezas/tazas</v>
      </c>
    </row>
    <row r="4" spans="1:3" x14ac:dyDescent="0.35">
      <c r="A4" t="s">
        <v>47</v>
      </c>
      <c r="B4" t="str">
        <f>ROUND('2. RESULTADOS'!$B$4/15*0.5, 1) &amp; " piezas/tazas"</f>
        <v>8.2 piezas/tazas</v>
      </c>
      <c r="C4" t="str">
        <f>ROUND(('2. RESULTADOS'!$B$4/3)/15*0.5, 1) &amp; " piezas/tazas"</f>
        <v>2.7 piezas/tazas</v>
      </c>
    </row>
    <row r="5" spans="1:3" x14ac:dyDescent="0.35">
      <c r="A5" t="s">
        <v>48</v>
      </c>
      <c r="B5" t="str">
        <f>ROUND('2. RESULTADOS'!$B$4/15*0.25, 1) &amp; " piezas/tazas"</f>
        <v>4.1 piezas/tazas</v>
      </c>
      <c r="C5" t="str">
        <f>ROUND(('2. RESULTADOS'!$B$4/3)/15*0.25, 1) &amp; " piezas/tazas"</f>
        <v>1.4 piezas/tazas</v>
      </c>
    </row>
    <row r="6" spans="1:3" x14ac:dyDescent="0.35">
      <c r="A6" t="s">
        <v>49</v>
      </c>
      <c r="B6" t="str">
        <f>ROUND('2. RESULTADOS'!$B$4/15*0.25, 1) &amp; " piezas/tazas"</f>
        <v>4.1 piezas/tazas</v>
      </c>
      <c r="C6" t="str">
        <f>ROUND(('2. RESULTADOS'!$B$4/3)/15*0.25, 1) &amp; " piezas/tazas"</f>
        <v>1.4 piezas/tazas</v>
      </c>
    </row>
    <row r="7" spans="1:3" x14ac:dyDescent="0.35">
      <c r="A7" t="s">
        <v>50</v>
      </c>
      <c r="B7" t="str">
        <f>ROUND('2. RESULTADOS'!$B$4/15*0.33, 1) &amp; " piezas/tazas"</f>
        <v>5.4 piezas/tazas</v>
      </c>
      <c r="C7" t="str">
        <f>ROUND(('2. RESULTADOS'!$B$4/3)/15*0.33, 1) &amp; " piezas/tazas"</f>
        <v>1.8 piezas/tazas</v>
      </c>
    </row>
    <row r="8" spans="1:3" x14ac:dyDescent="0.35">
      <c r="A8" t="s">
        <v>51</v>
      </c>
      <c r="B8" t="str">
        <f>ROUND('2. RESULTADOS'!$B$4/15*1, 1) &amp; " piezas/tazas"</f>
        <v>16.4 piezas/tazas</v>
      </c>
      <c r="C8" t="str">
        <f>ROUND(('2. RESULTADOS'!$B$4/3)/15*1, 1) &amp; " piezas/tazas"</f>
        <v>5.5 piezas/tazas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DATOS</vt:lpstr>
      <vt:lpstr>2. RESULTADOS</vt:lpstr>
      <vt:lpstr>3. GUIA ALIMENTACION</vt:lpstr>
      <vt:lpstr>4. LISTAS ALIMENTOS</vt:lpstr>
      <vt:lpstr>5. EQUIVALENCIAS CARBS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Jesus Lezama Alamillo - Alumno</cp:lastModifiedBy>
  <dcterms:created xsi:type="dcterms:W3CDTF">2026-04-15T03:42:55Z</dcterms:created>
  <dcterms:modified xsi:type="dcterms:W3CDTF">2026-04-17T03:40:51Z</dcterms:modified>
</cp:coreProperties>
</file>