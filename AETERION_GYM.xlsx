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ylan\Downloads\"/>
    </mc:Choice>
  </mc:AlternateContent>
  <xr:revisionPtr revIDLastSave="0" documentId="11_7E3CB062CAED941C4B0B8700335BBD7F8DC7B3DF" xr6:coauthVersionLast="47" xr6:coauthVersionMax="47" xr10:uidLastSave="{00000000-0000-0000-0000-000000000000}"/>
  <bookViews>
    <workbookView xWindow="-110" yWindow="-110" windowWidth="21820" windowHeight="13900" tabRatio="500" firstSheet="6" activeTab="7" xr2:uid="{00000000-000D-0000-FFFF-FFFF00000000}"/>
  </bookViews>
  <sheets>
    <sheet name="📋 DATOS" sheetId="1" r:id="rId1"/>
    <sheet name="🔴 H-5 DÍAS" sheetId="2" r:id="rId2"/>
    <sheet name="🟡 H-3 DÍAS" sheetId="3" r:id="rId3"/>
    <sheet name="🟣 M-5 DÍAS" sheetId="4" r:id="rId4"/>
    <sheet name="📈 PROGRESIÓN" sheetId="5" r:id="rId5"/>
    <sheet name="🫁 RESPIRACIÓN + KEGEL" sheetId="6" r:id="rId6"/>
    <sheet name="🔄 MOVILIDAD" sheetId="7" r:id="rId7"/>
    <sheet name="💪 CORE + TRAPECIOS + MUÑECA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5" l="1"/>
  <c r="G23" i="5" s="1"/>
  <c r="F22" i="5"/>
  <c r="G22" i="5" s="1"/>
  <c r="F21" i="5"/>
  <c r="G21" i="5" s="1"/>
  <c r="F20" i="5"/>
  <c r="G20" i="5" s="1"/>
  <c r="F19" i="5"/>
  <c r="G19" i="5" s="1"/>
  <c r="F18" i="5"/>
  <c r="G18" i="5" s="1"/>
  <c r="F17" i="5"/>
  <c r="G17" i="5" s="1"/>
  <c r="F16" i="5"/>
  <c r="G16" i="5" s="1"/>
  <c r="F15" i="5"/>
  <c r="G15" i="5" s="1"/>
  <c r="F14" i="5"/>
  <c r="G14" i="5" s="1"/>
  <c r="D24" i="1"/>
  <c r="I15" i="1"/>
  <c r="D15" i="1"/>
  <c r="K14" i="1"/>
  <c r="H14" i="1"/>
  <c r="E14" i="1"/>
  <c r="H9" i="1"/>
  <c r="E9" i="1"/>
  <c r="K9" i="1" s="1"/>
</calcChain>
</file>

<file path=xl/sharedStrings.xml><?xml version="1.0" encoding="utf-8"?>
<sst xmlns="http://schemas.openxmlformats.org/spreadsheetml/2006/main" count="1161" uniqueCount="607">
  <si>
    <t>AETERION</t>
  </si>
  <si>
    <t>SISTEMA DE ENTRENAMIENTO — GYM GENERAL · HIPERTROFIA</t>
  </si>
  <si>
    <t>Ciencia. Disciplina. Resultados.</t>
  </si>
  <si>
    <t xml:space="preserve">  ① PERFIL FÍSICO — Completa los campos amarillos</t>
  </si>
  <si>
    <t>Nombre</t>
  </si>
  <si>
    <t>Edad (años)</t>
  </si>
  <si>
    <t>Peso (kg)</t>
  </si>
  <si>
    <t>Estatura (cm)</t>
  </si>
  <si>
    <t>Sexo</t>
  </si>
  <si>
    <t>% Grasa corporal</t>
  </si>
  <si>
    <t>Tu nombre</t>
  </si>
  <si>
    <t>H</t>
  </si>
  <si>
    <t>↓ Calculado</t>
  </si>
  <si>
    <t>IMC</t>
  </si>
  <si>
    <t>Masa magra kg</t>
  </si>
  <si>
    <t>Cat. IMC</t>
  </si>
  <si>
    <t xml:space="preserve">  ② NIVEL REAL — Responde con honestidad para un plan preciso</t>
  </si>
  <si>
    <t>Tiempo entrenando</t>
  </si>
  <si>
    <t>Banca 5-8 reps (kg)</t>
  </si>
  <si>
    <t>Sentadilla 5-8 reps (kg)</t>
  </si>
  <si>
    <t>P.Muerto 5-8 reps (kg)</t>
  </si>
  <si>
    <t>Dominadas (reps)</t>
  </si>
  <si>
    <t>6–24 meses</t>
  </si>
  <si>
    <t>1RM estimado (Epley):</t>
  </si>
  <si>
    <t>Banca</t>
  </si>
  <si>
    <t>Sentadilla</t>
  </si>
  <si>
    <t>P.Muerto</t>
  </si>
  <si>
    <t>Nivel detectado:</t>
  </si>
  <si>
    <t xml:space="preserve">  ③ OBJETIVO — Hipertrofia como base. Selecciona variante</t>
  </si>
  <si>
    <t>Variante principal</t>
  </si>
  <si>
    <t>Secundario</t>
  </si>
  <si>
    <t>Rutina seleccionada</t>
  </si>
  <si>
    <t>Hipertrofia pura</t>
  </si>
  <si>
    <t>Pérdida de grasa</t>
  </si>
  <si>
    <t>Hombre 5 días</t>
  </si>
  <si>
    <t xml:space="preserve">  ④ HÁBITOS — Determinan el volumen real que puedes absorber</t>
  </si>
  <si>
    <t>Sueño (h)</t>
  </si>
  <si>
    <t>Estrés</t>
  </si>
  <si>
    <t>Trabajo</t>
  </si>
  <si>
    <t>Alimentación</t>
  </si>
  <si>
    <t>Hidratación</t>
  </si>
  <si>
    <t>Proteína/día</t>
  </si>
  <si>
    <t>7</t>
  </si>
  <si>
    <t>Medio</t>
  </si>
  <si>
    <t>Sedentario</t>
  </si>
  <si>
    <t>Regular</t>
  </si>
  <si>
    <t>Regular 1.5-2L</t>
  </si>
  <si>
    <t>Media 1-1.5g/kg</t>
  </si>
  <si>
    <t>Modificador volumen:</t>
  </si>
  <si>
    <t>← 100% = hábitos óptimos. Sueño ≤6h = −15%. Estrés alto = −15%. Trabajo físico = −10%.</t>
  </si>
  <si>
    <t xml:space="preserve">  ⑤ DISPONIBILIDAD</t>
  </si>
  <si>
    <t>Días/semana</t>
  </si>
  <si>
    <t>Duración sesión</t>
  </si>
  <si>
    <t>Equipamiento</t>
  </si>
  <si>
    <t>5</t>
  </si>
  <si>
    <t>60–90 min</t>
  </si>
  <si>
    <t>Gimnasio completo</t>
  </si>
  <si>
    <t>RUTINA HOMBRE — 5 DÍAS DE ESTÍMULO</t>
  </si>
  <si>
    <t>Hipertrofia · Push/Pull/Legs + Upper + Legs&amp;Arms · Periodización DUP</t>
  </si>
  <si>
    <t>MODELO DE SEMANA:  Día 1 Push  ·  Día 2 Pull  ·  Día 3 Piernas  ·  Día 4 Descanso  ·  Día 5 Upper Full  ·  Día 6 Piernas+Brazos  ·  Día 7 Descanso</t>
  </si>
  <si>
    <t>DÍA 1 — PUSH  (2 Pecho · 2 Hombro · 2 Tríceps)</t>
  </si>
  <si>
    <t>HIPERTROFIA · RPE 7–8 · Doble progresión</t>
  </si>
  <si>
    <t>#</t>
  </si>
  <si>
    <t>Ejercicio</t>
  </si>
  <si>
    <t>Músculo</t>
  </si>
  <si>
    <t>Series</t>
  </si>
  <si>
    <t>Reps</t>
  </si>
  <si>
    <t>Descanso</t>
  </si>
  <si>
    <t>RPE</t>
  </si>
  <si>
    <t>Nota técnica / Carga</t>
  </si>
  <si>
    <t>Press inclinado con barra/mancuerna</t>
  </si>
  <si>
    <t>Pecho alto</t>
  </si>
  <si>
    <t>3–4</t>
  </si>
  <si>
    <t>8–12</t>
  </si>
  <si>
    <t>90–120s</t>
  </si>
  <si>
    <t>RPE 8</t>
  </si>
  <si>
    <t>Ejercicio principal. Escápulas retraídas. Foco: aleja la barra del techo.</t>
  </si>
  <si>
    <t>Pec fly / Aperturas con mancuerna</t>
  </si>
  <si>
    <t>Pecho medio</t>
  </si>
  <si>
    <t>3</t>
  </si>
  <si>
    <t>12–15</t>
  </si>
  <si>
    <t>60–75s</t>
  </si>
  <si>
    <t>RPE 7</t>
  </si>
  <si>
    <t>Accesorio. Estiramiento máximo en excéntrica. Controla la bajada.</t>
  </si>
  <si>
    <t>Press militar con mancuernas (sentado)</t>
  </si>
  <si>
    <t>Deltoides ant/med</t>
  </si>
  <si>
    <t>90s</t>
  </si>
  <si>
    <t>Core activo. Sin hiperlordosis. Codos a 45° del cuerpo.</t>
  </si>
  <si>
    <t>Elevaciones laterales con mancuernas</t>
  </si>
  <si>
    <t>Deltoides medio</t>
  </si>
  <si>
    <t>12–20</t>
  </si>
  <si>
    <t>45–60s</t>
  </si>
  <si>
    <t>No balancear. Meñique arriba. Ligero adelanto del torso.</t>
  </si>
  <si>
    <t>Extensión de tríceps unilateral en polea</t>
  </si>
  <si>
    <t>Tríceps</t>
  </si>
  <si>
    <t>10–15</t>
  </si>
  <si>
    <t>60s</t>
  </si>
  <si>
    <t>Codo fijo al costado. Solo mueve el antebrazo. Contracción completa.</t>
  </si>
  <si>
    <t>Press francés / JM Press</t>
  </si>
  <si>
    <t>Tríceps cabeza larga</t>
  </si>
  <si>
    <t>10–12</t>
  </si>
  <si>
    <t>75s</t>
  </si>
  <si>
    <t>RPE 7–8</t>
  </si>
  <si>
    <t>Codos al techo. No abrir hacia los lados. Rango completo.</t>
  </si>
  <si>
    <t>↑ Progresión (doble progresión): completa el tope del rango de reps en TODAS las series → sube 2.5kg (comp.) o 1-2kg (accesorio). Vuelve al rango bajo con la nueva carga.</t>
  </si>
  <si>
    <t>DÍA 2 — PULL  (3 Espalda · 1 Deltoides posterior · 2 Bíceps)</t>
  </si>
  <si>
    <t>Jalón al pecho</t>
  </si>
  <si>
    <t>Dorsal ancho</t>
  </si>
  <si>
    <t>Foco externo: jala la barra hacia tu cintura. Pecho abierto.</t>
  </si>
  <si>
    <t>Remo en T</t>
  </si>
  <si>
    <t>Dorsal / Romboides</t>
  </si>
  <si>
    <t>Pecho apoyado. Pausa 1s al contraer. Escápulas al final.</t>
  </si>
  <si>
    <t>Remo horizontal en máquina</t>
  </si>
  <si>
    <t>Trapecio medio</t>
  </si>
  <si>
    <t>Pausa 1s. Codos hacia atrás. Retracción escapular completa.</t>
  </si>
  <si>
    <t>Aperturas inversas en máquina</t>
  </si>
  <si>
    <t>Deltoides posterior</t>
  </si>
  <si>
    <t>Pecho apoyado. Movimiento desde el hombro. No del codo.</t>
  </si>
  <si>
    <t>Curl Bayesian en polea</t>
  </si>
  <si>
    <t>Bíceps (estiramiento)</t>
  </si>
  <si>
    <t>Posición de estiramiento máximo del bíceps. Supina al contraer.</t>
  </si>
  <si>
    <t>Curl martillo</t>
  </si>
  <si>
    <t>Braquialis / Braquiorradial</t>
  </si>
  <si>
    <t>Agarre neutro. Trabaja braquialis. No balancear el torso.</t>
  </si>
  <si>
    <t>DÍA 3 — PIERNAS  (2 Compuestos · 2 Aislamiento · 1 Glúteo · 2 Pantorrilla)</t>
  </si>
  <si>
    <t>Sentadilla Smith / Hack / Prensa</t>
  </si>
  <si>
    <t>Cuádriceps</t>
  </si>
  <si>
    <t>4</t>
  </si>
  <si>
    <t>2–3 min</t>
  </si>
  <si>
    <t>Compuesto principal. Empuja el suelo lejos de ti. Rango completo.</t>
  </si>
  <si>
    <t>Peso muerto rumano</t>
  </si>
  <si>
    <t>Glúteo / Isquiotibiales</t>
  </si>
  <si>
    <t>Compuesto. Excéntrico 3–4s. Isquiotibiales al límite. Espalda neutra.</t>
  </si>
  <si>
    <t>Extensión de cuádriceps en máquina</t>
  </si>
  <si>
    <t>Cuádriceps aislado</t>
  </si>
  <si>
    <t>Aislamiento. Pausa 1s en extensión completa. Contracción máxima.</t>
  </si>
  <si>
    <t>Curl femoral tumbado/sentado</t>
  </si>
  <si>
    <t>Isquiotibiales</t>
  </si>
  <si>
    <t>Aislamiento. Cadera apoyada. Rango de movimiento completo.</t>
  </si>
  <si>
    <t>Hip thrust con barra</t>
  </si>
  <si>
    <t>Glúteo mayor</t>
  </si>
  <si>
    <t>Glúteo dominante. Pausa 2s arriba. Empuje desde el talón.</t>
  </si>
  <si>
    <t>Elevación de talón de pie</t>
  </si>
  <si>
    <t>Gastrocnemio</t>
  </si>
  <si>
    <t>Rango completo. Pausa 1s arriba y abajo. No rebotar.</t>
  </si>
  <si>
    <t>Elevación de talón sentado</t>
  </si>
  <si>
    <t>Sóleo</t>
  </si>
  <si>
    <t>15–20</t>
  </si>
  <si>
    <t>45s</t>
  </si>
  <si>
    <t>Sóleo. Rango completo. Pausa abajo para estiramiento.</t>
  </si>
  <si>
    <t xml:space="preserve">  DÍA 4 — DESCANSO ACTIVO  ·  Movilidad 10–15 min + hidratación + sueño prioritario</t>
  </si>
  <si>
    <t>DÍA 5 — FULL UPPER  (2 Pecho · 2 Espalda · 2 Hombro)</t>
  </si>
  <si>
    <t>HIPERTROFIA · RPE 7 · Segundo estímulo semanal</t>
  </si>
  <si>
    <t>Press inclinado con mancuerna</t>
  </si>
  <si>
    <t>Variante del día 1. Peso ligeramente menor. Rango completo.</t>
  </si>
  <si>
    <t>Aperturas en máquina (pec deck)</t>
  </si>
  <si>
    <t>Pec deck. Estiramiento máximo. Contracción lenta.</t>
  </si>
  <si>
    <t>Dominadas (o jalón al pecho)</t>
  </si>
  <si>
    <t>6–10</t>
  </si>
  <si>
    <t>Rango completo. Pausa abajo. Si no: jalón al pecho como sustitución.</t>
  </si>
  <si>
    <t>Remo horizontal unilateral</t>
  </si>
  <si>
    <t>Dorsal unilateral</t>
  </si>
  <si>
    <t>Unilateral. Cadera cuadrada. No rotar el torso. Pausa 1s.</t>
  </si>
  <si>
    <t>Deltoides</t>
  </si>
  <si>
    <t>Second stimulus. Volumen acumulado de la semana. Buena forma.</t>
  </si>
  <si>
    <t>Alto volumen de laterales. Peso ligero. Contracción máxima.</t>
  </si>
  <si>
    <t>DÍA 6 — PIERNAS Y BRAZOS  (1 Comp. · 2 Ais. pierna · 2 Glúteo · 1 Bíceps · 2 Tríceps)</t>
  </si>
  <si>
    <t>Sentadilla búlgara</t>
  </si>
  <si>
    <t>Glúteo / Cuádriceps</t>
  </si>
  <si>
    <t>Compuesto pierna. Pie trasero en banco. Rodilla no pasa el pie.</t>
  </si>
  <si>
    <t>Aislamiento. Pausa 1s arriba. Contracción voluntaria máxima.</t>
  </si>
  <si>
    <t>Aislamiento. Segundo estímulo semanal. Rango completo.</t>
  </si>
  <si>
    <t>Segundo estímulo glúteo. Peso moderado. Pausa 2s arriba.</t>
  </si>
  <si>
    <t>Abducción en máquina</t>
  </si>
  <si>
    <t>Glúteo medio</t>
  </si>
  <si>
    <t>Glúteo medio. Movimiento controlado. No balancear la cadera.</t>
  </si>
  <si>
    <t>Curl en polea / barra</t>
  </si>
  <si>
    <t>Bíceps</t>
  </si>
  <si>
    <t>Bíceps. Supinación completa al contraer. Tempo controlado.</t>
  </si>
  <si>
    <t>Tríceps. Segundo estímulo. Codo fijo. Contracción completa.</t>
  </si>
  <si>
    <t>Cabeza larga del tríceps. Segundo estímulo. Forma correcta.</t>
  </si>
  <si>
    <t xml:space="preserve">  DÍA 7 — DESCANSO TOTAL  ·  El progreso ocurre durante la recuperación, no durante el entrenamiento.</t>
  </si>
  <si>
    <t>RUTINA HOMBRE — 3 DÍAS DE ESTÍMULO</t>
  </si>
  <si>
    <t>Hipertrofia · Full Body + Superior + Inferior · Progresión lineal</t>
  </si>
  <si>
    <t>MODELO DE SEMANA:  Día 1 Cuerpo completo  ·  Día 2 Descanso  ·  Día 3 Superior  ·  Día 4 Descanso  ·  Día 5 Inferior  ·  Días 6–7 Descanso</t>
  </si>
  <si>
    <t>DÍA 1 — CUERPO COMPLETO</t>
  </si>
  <si>
    <t>HIPERTROFIA · Compuestos prioritarios · RPE 7–8</t>
  </si>
  <si>
    <t>8–10</t>
  </si>
  <si>
    <t>2 min</t>
  </si>
  <si>
    <t>Compuesto pierna. Base de la sesión. Foco: empuja el suelo.</t>
  </si>
  <si>
    <t>Compuesto pecho. Escápulas retraídas. Foco: aleja la barra del techo.</t>
  </si>
  <si>
    <t>Compuesto espalda. Foco externo: jala hacia tu cintura.</t>
  </si>
  <si>
    <t>Hombro. Core activo. Codos a 45°.</t>
  </si>
  <si>
    <t>Glúteo. Pausa 2s arriba. Empuje desde el talón.</t>
  </si>
  <si>
    <t>2</t>
  </si>
  <si>
    <t>Bíceps. Supinación completa. No balancear.</t>
  </si>
  <si>
    <t>Tríceps. Codo fijo. Contracción completa.</t>
  </si>
  <si>
    <t xml:space="preserve">  DÍA 2 — DESCANSO</t>
  </si>
  <si>
    <t>DÍA 3 — SUPERIOR</t>
  </si>
  <si>
    <t>HIPERTROFIA · Tren superior completo · RPE 7–8</t>
  </si>
  <si>
    <t>Segundo estímulo pecho. Variante con mancuerna para mayor rango.</t>
  </si>
  <si>
    <t>Pec fly / Aperturas</t>
  </si>
  <si>
    <t>Accesorio pecho. Estiramiento máximo. Controla la bajada.</t>
  </si>
  <si>
    <t>Espalda. Pecho apoyado. Pausa 1s al contraer.</t>
  </si>
  <si>
    <t>Elevaciones laterales</t>
  </si>
  <si>
    <t>Hombro. No balancear. Alto rango de reps. Contracción voluntaria.</t>
  </si>
  <si>
    <t>Deltoides posterior. Pecho apoyado. Desde el hombro.</t>
  </si>
  <si>
    <t>Bíceps en estiramiento. Supinación completa al contraer.</t>
  </si>
  <si>
    <t>Tríceps cabeza larga. Codos al techo. No abrir.</t>
  </si>
  <si>
    <t xml:space="preserve">  DÍA 4 — DESCANSO</t>
  </si>
  <si>
    <t>DÍA 5 — INFERIOR</t>
  </si>
  <si>
    <t>HIPERTROFIA · Tren inferior completo · RPE 7–8</t>
  </si>
  <si>
    <t>Compuesto dominante. Pie trasero en banco. Rodilla no pasa el pie.</t>
  </si>
  <si>
    <t>Cadena posterior. Excéntrico 3–4s. Espalda neutra.</t>
  </si>
  <si>
    <t>Extensión de cuádriceps</t>
  </si>
  <si>
    <t>Aislamiento. Pausa 1s arriba. Contracción máxima.</t>
  </si>
  <si>
    <t>Curl femoral</t>
  </si>
  <si>
    <t>Aislamiento. Cadera apoyada. Rango completo.</t>
  </si>
  <si>
    <t>Glúteo. Pausa 2s. Segundo estímulo semanal.</t>
  </si>
  <si>
    <t>Pantorrilla. Rango completo. No rebotar.</t>
  </si>
  <si>
    <t>Sóleo. Pausa abajo. Rango completo.</t>
  </si>
  <si>
    <t xml:space="preserve">  DÍAS 6–7 — DESCANSO TOTAL</t>
  </si>
  <si>
    <t>RUTINA MUJER — 5 DÍAS DE ESTÍMULO</t>
  </si>
  <si>
    <t>Hipertrofia · Glúteo dominante · Mayor frecuencia tren inferior</t>
  </si>
  <si>
    <t>MODELO DE SEMANA:  Día 1 Pierna glúteo  ·  Día 2 Tren superior  ·  Día 3 Descanso  ·  Día 4 Pierna cuádriceps  ·  Día 5 Full body énfasis glúteo  ·  Días 6–7 Descanso</t>
  </si>
  <si>
    <t>DÍA 1 — PIERNA (Glúteo dominante)</t>
  </si>
  <si>
    <t>HIPERTROFIA · Énfasis glúteo · RPE 7–8</t>
  </si>
  <si>
    <t>Principal. Pausa 2s arriba. Contracción glútea máxima. Empuje desde el talón.</t>
  </si>
  <si>
    <t>Glúteo dominante. Pie trasero en banco. Torso ligeramente adelante.</t>
  </si>
  <si>
    <t>Patada de glúteo en polea</t>
  </si>
  <si>
    <t>Aislamiento. Cadera fija. Solo mueve la pierna. Contracción final.</t>
  </si>
  <si>
    <t>Glúteo medio. Movimiento controlado. Pausa 1s al contraer.</t>
  </si>
  <si>
    <t>Pantorrilla. Rango completo. Pausa 1s arriba y abajo.</t>
  </si>
  <si>
    <t>DÍA 2 — TREN SUPERIOR</t>
  </si>
  <si>
    <t>Compuesto pecho. Escápulas retraídas. Foco: aleja las mancuernas del techo.</t>
  </si>
  <si>
    <t>Espalda. Foco: jala la barra hacia tu cintura. Pecho abierto.</t>
  </si>
  <si>
    <t>Trapecio / Romboides</t>
  </si>
  <si>
    <t>Espalda media. Pausa 1s. Retracción escapular completa.</t>
  </si>
  <si>
    <t>Hombro. No balancear. Meñique arriba. Contracción voluntaria.</t>
  </si>
  <si>
    <t>Press militar con mancuernas</t>
  </si>
  <si>
    <t>Hombro. Core activo. Sin hiperlordosis. Codos a 45°.</t>
  </si>
  <si>
    <t>Bíceps. Supinación completa. No balancear el torso.</t>
  </si>
  <si>
    <t>Extensión de tríceps en polea</t>
  </si>
  <si>
    <t>Tríceps. Codo fijo. Contracción completa. Tempo controlado.</t>
  </si>
  <si>
    <t xml:space="preserve">  DÍA 3 — DESCANSO ACTIVO  ·  Movilidad, caminata ligera o yoga. No entrenar con intensidad.</t>
  </si>
  <si>
    <t>DÍA 4 — PIERNA (Cuádriceps dominante)</t>
  </si>
  <si>
    <t>HIPERTROFIA · Énfasis cuádriceps · RPE 7–8</t>
  </si>
  <si>
    <t>Compuesto. Cuádriceps dominante. Foco: empuja el suelo lejos de ti.</t>
  </si>
  <si>
    <t>Aislamiento. Pausa 1s en extensión completa. Contracción voluntaria máxima.</t>
  </si>
  <si>
    <t>Zancadas con mancuernas</t>
  </si>
  <si>
    <t>Cuádriceps / Glúteo</t>
  </si>
  <si>
    <t>10–12/pierna</t>
  </si>
  <si>
    <t>Torso erguido. Rodilla trasera cerca del suelo. Paso amplio.</t>
  </si>
  <si>
    <t>Sóleo. Rango completo. Pausa abajo para estiramiento máximo.</t>
  </si>
  <si>
    <t>Gastrocnemio. Pausa 1s arriba. No rebotar en el punto bajo.</t>
  </si>
  <si>
    <t>DÍA 5 — FULL BODY (Énfasis glúteo)</t>
  </si>
  <si>
    <t>HIPERTROFIA · Segundo estímulo completo · RPE 7</t>
  </si>
  <si>
    <t>Tercer estímulo glúteo. Peso moderado. Pausa 2s. Alta contracción.</t>
  </si>
  <si>
    <t>Glúteo. Segundo estímulo búlgara. Peso menor que día 1.</t>
  </si>
  <si>
    <t>Aislamiento glúteo. Alto reps. Contracción máxima al final.</t>
  </si>
  <si>
    <t>Pecho</t>
  </si>
  <si>
    <t>Segundo estímulo pecho. Peso moderado. Rango completo.</t>
  </si>
  <si>
    <t>Segundo estímulo espalda. Pecho apoyado. Pausa 1s.</t>
  </si>
  <si>
    <t>Tercer estímulo hombro. Ligero. Alto reps. Quema final.</t>
  </si>
  <si>
    <t xml:space="preserve">  DÍAS 6–7 — DESCANSO TOTAL  ·  El músculo crece en el descanso. No en el entrenamiento.</t>
  </si>
  <si>
    <t>PROGRESIÓN CIENTÍFICA — HIPERTROFIA</t>
  </si>
  <si>
    <t>Basado en: Israetel (2019) · ACSM (2009) · Colquhoun et al. (2017)</t>
  </si>
  <si>
    <t xml:space="preserve">  JERARQUÍA DE ENTRENAMIENTO (de mayor a menor impacto)</t>
  </si>
  <si>
    <t>①</t>
  </si>
  <si>
    <t>Periodización</t>
  </si>
  <si>
    <t>El sistema que organiza todo. Sin estructura, la sobrecarga no tiene dirección.</t>
  </si>
  <si>
    <t>②</t>
  </si>
  <si>
    <t>Sobrecarga progresiva</t>
  </si>
  <si>
    <t>Primero: reducir descansos → más reps → más series → más volumen → al final: subir peso.</t>
  </si>
  <si>
    <t>③</t>
  </si>
  <si>
    <t>Volumen MEV–MAV</t>
  </si>
  <si>
    <t>Israetel 2019: series semanales dentro del rango efectivo por grupo muscular.</t>
  </si>
  <si>
    <t>④</t>
  </si>
  <si>
    <t>Técnica funcional</t>
  </si>
  <si>
    <t>Que el músculo objetivo trabaje. La anatomía es individual. No existe técnica 'universal perfecta'.</t>
  </si>
  <si>
    <t>⑤</t>
  </si>
  <si>
    <t>Técnica perfecta</t>
  </si>
  <si>
    <t>La menos importante. Inserción tendinosa y morfología ósea varían entre personas (Helms 2015).</t>
  </si>
  <si>
    <t xml:space="preserve">  VOLUMEN CIENTÍFICO POR GRUPO MUSCULAR — Israetel, Hoffman &amp; Case (2019)</t>
  </si>
  <si>
    <t>Grupo Muscular</t>
  </si>
  <si>
    <t>MEV</t>
  </si>
  <si>
    <t>MAV</t>
  </si>
  <si>
    <t>MRV</t>
  </si>
  <si>
    <t>Vol. asignado*</t>
  </si>
  <si>
    <t>Zona</t>
  </si>
  <si>
    <t>Espalda</t>
  </si>
  <si>
    <t>Hombros</t>
  </si>
  <si>
    <t>Glúteos</t>
  </si>
  <si>
    <t>Core</t>
  </si>
  <si>
    <t>Antebrazos</t>
  </si>
  <si>
    <t>Pantorrilla</t>
  </si>
  <si>
    <t xml:space="preserve">  MODELO DE DOBLE PROGRESIÓN — ACSM Position Stand (2009)</t>
  </si>
  <si>
    <t>Paso 1</t>
  </si>
  <si>
    <t>Define tu rango</t>
  </si>
  <si>
    <t>Ejemplo: 3 × 8–12. El rango bajo (8) = nueva carga. El rango alto (12) = cuando subes carga.</t>
  </si>
  <si>
    <t>Paso 2</t>
  </si>
  <si>
    <t>Trabaja dentro del rango</t>
  </si>
  <si>
    <t>Haces 3×10, 3×10, 3×10 → no subas todavía. Busca completar 3×12 en todas las series.</t>
  </si>
  <si>
    <t>Paso 3</t>
  </si>
  <si>
    <t>Completa el tope del rango</t>
  </si>
  <si>
    <t>Cuando completas 3×12 en TODAS las series con buena forma → listo para subir peso.</t>
  </si>
  <si>
    <t>Paso 4</t>
  </si>
  <si>
    <t>Sube la carga</t>
  </si>
  <si>
    <t>Añade 2.5kg en compuestos o 1–2kg en accesorios. No más.</t>
  </si>
  <si>
    <t>Paso 5</t>
  </si>
  <si>
    <t>Vuelve al fondo</t>
  </si>
  <si>
    <t>Con la nueva carga, empiezas en 3×8 y repites el ciclo. Así funciona la progresión real.</t>
  </si>
  <si>
    <t xml:space="preserve">  FALLO MUSCULAR — Cuándo sí y cuándo no (Schoenfeld et al. 2021)</t>
  </si>
  <si>
    <t>Principiante</t>
  </si>
  <si>
    <t>Nunca al fallo</t>
  </si>
  <si>
    <t>El SNC no está preparado. El riesgo de lesión supera el beneficio. RIR 3–4 siempre.</t>
  </si>
  <si>
    <t>Intermedio</t>
  </si>
  <si>
    <t>Solo en accesorios</t>
  </si>
  <si>
    <t>Llegar al fallo en jalón, curl, laterales: útil. En sentadilla o peso muerto: innecesario y peligroso.</t>
  </si>
  <si>
    <t>Avanzado</t>
  </si>
  <si>
    <t>Estratégicamente</t>
  </si>
  <si>
    <t>Fallo en accesorios de las últimas series. NUNCA en compuestos pesados. RIR 0–1 en aislamiento.</t>
  </si>
  <si>
    <t>SIEMPRE</t>
  </si>
  <si>
    <t>Técnica limpia primero</t>
  </si>
  <si>
    <t>El músculo no sabe cuánto pesa la barra. Sabe cuánta tensión recibe. Técnica funcional &gt; peso máximo.</t>
  </si>
  <si>
    <t xml:space="preserve">  ESCALA RPE — Rate of Perceived Exertion (qué significa cada color)</t>
  </si>
  <si>
    <t>RPE 6</t>
  </si>
  <si>
    <t>Muy fácil — 4+ reps en el tanque</t>
  </si>
  <si>
    <t>Calentamiento, técnica, deload</t>
  </si>
  <si>
    <t>Moderado — 3 reps en el tanque</t>
  </si>
  <si>
    <t>Accesorios, principiantes</t>
  </si>
  <si>
    <t>Desafiante — 2 reps en el tanque</t>
  </si>
  <si>
    <t>Compuestos intermedios e hípertrofia</t>
  </si>
  <si>
    <t>RPE 9</t>
  </si>
  <si>
    <t>Difícil — 1 rep en el tanque</t>
  </si>
  <si>
    <t>Compuestos avanzados, fuerza</t>
  </si>
  <si>
    <t>RPE 10</t>
  </si>
  <si>
    <t>Al fallo — 0 reps en el tanque</t>
  </si>
  <si>
    <t>Solo accesorios estratégicamente</t>
  </si>
  <si>
    <t>RESPIRACIÓN CON CARGAS + SUELO PÉLVICO</t>
  </si>
  <si>
    <t>Protocolo clínico validado · Para hombres y mujeres · Fisioterapia del suelo pélvico</t>
  </si>
  <si>
    <t xml:space="preserve">  ¿QUÉ ES EL SUELO PÉLVICO Y POR QUÉ ENTRENARLO?</t>
  </si>
  <si>
    <t>4 funciones del suelo pélvico:</t>
  </si>
  <si>
    <t>① SOPORTE — sostiene órganos internos y previene prolapsos
② CONTINENCIA — urinaria y fecal
③ ESTABILIZACIÓN — estática (sentado) y dinámica (movimiento, deporte)
④ SEXUAL — función eréctil y orgásmica</t>
  </si>
  <si>
    <t>Conexión con otros músculos:</t>
  </si>
  <si>
    <t>El suelo pélvico NO trabaja aislado. Está conectado con: diafragma · musculatura abdominal · glúteos · columna lumbar · musculatura profunda tónica. Todos trabajan en sinergia durante el ejercicio.</t>
  </si>
  <si>
    <t>¿Cómo identificarlo?</t>
  </si>
  <si>
    <t>PARA CONTRAER EL SUELO PÉLVICO: imagina que estás conteniendo la orina, el canal vaginal/anal y cerrando el ano simultáneamente. La contracción debe sentirse como una elevación interna, NO como un empuje hacia afuera/abajo.</t>
  </si>
  <si>
    <t>Hipertrofia del suelo pélvico:</t>
  </si>
  <si>
    <t>Con Kegel lo que buscamos es hipertrofiar el suelo pélvico como se hipertrofian los glúteos o el cuádriceps. No es solo 'apretarlo' — es desarrollar masa muscular, densidad y resistencia en ese tejido.</t>
  </si>
  <si>
    <t xml:space="preserve">  PROTOCOLO KEGEL ESTANDARIZADO — Bø et al. (2015) · Neurourology and Urodynamics</t>
  </si>
  <si>
    <t>Elemento</t>
  </si>
  <si>
    <t>Descripción detallada</t>
  </si>
  <si>
    <t>Errores comunes</t>
  </si>
  <si>
    <t>FASE 1 — Contracción mantenida</t>
  </si>
  <si>
    <t>Contrae el suelo pélvico al MÁXIMO posible. Mantén durante 6 segundos. La contracción va ligada a la EXHALACIÓN. Debes sentir que el suelo pélvico ASCIENDE (sube), no que empuja hacia abajo. Al terminar los 6s, INHALA y relaja completamente.</t>
  </si>
  <si>
    <t>Contener la respiración. Sentir que empuja hacia afuera. Contraer solo superficialmente. No exhalar durante la contracción.</t>
  </si>
  <si>
    <t>FASE 2 — Pulsos de contracción</t>
  </si>
  <si>
    <t>Inmediatamente después de la fase 1: realiza 4 pulsos rápidos de CONTRACCIÓN–RELAJACIÓN. Cada contracción = exhalación. Cada relajación = inhalación. Cada pulso al MÁXIMO de contracción posible en ese momento.</t>
  </si>
  <si>
    <t>Hacer los pulsos superficialmente. No llegar al máximo de contracción en cada pulso. No asociar cada contracción a la exhalación.</t>
  </si>
  <si>
    <t>SERIES Y POSICIONES</t>
  </si>
  <si>
    <t>Repetir el ejercicio completo (Fase 1 + Fase 2) = 1 repetición. Completar 8 repeticiones en cada posición:
· Sentado
· Parado
· En cuclillas
· Acostado
Total: 4 posiciones × 8 reps = 32 repeticiones por sesión.</t>
  </si>
  <si>
    <t>Saltar posiciones. Hacer menos de 8 reps. No variar posiciones. Pensar que una sola posición es suficiente.</t>
  </si>
  <si>
    <t>FRECUENCIA</t>
  </si>
  <si>
    <t>DIARIO. Absolutamente todos los días. Da igual la hora del día. Da igual si es en ayunas o no. La consistencia diaria es el factor más importante del protocolo. La mejora en incontinencia y fortalecimiento ocurre con práctica diaria sostenida.</t>
  </si>
  <si>
    <t>Hacerlo solo cuando te acuerdas. Saltarse días. Pensar que 3 veces por semana es suficiente. El protocolo estandarizado requiere diario.</t>
  </si>
  <si>
    <t>RESPIRACIÓN EN KEGEL</t>
  </si>
  <si>
    <t>Cada contracción del suelo pélvico está ligada a la EXHALACIÓN. Cuando exhalas, el diafragma sube y el suelo pélvico también sube y se contrae. Cuando inhalas, ambos descienden y se relajan. Este patrón es fisiológicamente natural y es el que hay que entrenar conscientemente.</t>
  </si>
  <si>
    <t>Contraer al inhalar. Retener la respiración. No coordinar respiración con contracción. Hacer apnea durante los pulsos.</t>
  </si>
  <si>
    <t>SUPERVISIÓN RECOMENDADA</t>
  </si>
  <si>
    <t>Este protocolo debe ser guiado al menos una vez por semana por un fisioterapeuta especializado en suelo pélvico. Si no tienes acceso, el protocolo estandarizado produce mejoras significativas por sí solo, especialmente en incontinencia urinaria y fortalecimiento preventivo.</t>
  </si>
  <si>
    <t>Seguir protocolos de redes sociales sin estructura (contracción a ritmo de música, mil repeticiones sin objetivo, vacums abdominales — estos NO funcionan para hipertrofia del suelo pélvico).</t>
  </si>
  <si>
    <t xml:space="preserve">  RESPIRACIÓN CON CARGAS — Para hombres y mujeres en el gym</t>
  </si>
  <si>
    <t>Tipo de carga</t>
  </si>
  <si>
    <t>Técnica respiratoria</t>
  </si>
  <si>
    <t>Ejemplos prácticos</t>
  </si>
  <si>
    <t>CARGAS BAJAS / MODERADAS
(Accesorios, técnica, calentamiento)</t>
  </si>
  <si>
    <t>Respiración natural adaptada:
· INHALAR en la fase de menor esfuerzo (excéntrica: bajar, alargar)
· EXHALAR en la fase de mayor esfuerzo (concéntrica: subir, empujar)
El suelo pélvico y core se activan automáticamente con la respiración correcta. No necesitas activarlos conscientemente.</t>
  </si>
  <si>
    <t>Curl de bíceps: inhala al bajar, exhala al subir.
Extensión de tríceps: inhala al doblar, exhala al extender.
Laterales: inhala al bajar, exhala al subir.
Cualquier accesorio de hipertrofia normal.</t>
  </si>
  <si>
    <t>CARGAS ALTAS / MÁXIMAS
(Compuestos pesados, 1–6 reps)</t>
  </si>
  <si>
    <t>Maniobra de Valsalva + NAC Perineal:
① Inhala profundo llenando el abdomen
② Valsalva: cierra la glotis (no entra ni sale aire)
③ NAC Perineal: contrae suelo pélvico elevando el perineo
④ Bracing: contrae el abdomen (como si fuera a recibir un golpe)
⑤ Mantén las 4 contracciones durante TODO el movimiento
⑥ Exhala al finalizar el recorrido completo</t>
  </si>
  <si>
    <t>Sentadilla pesada: inhala → Valsalva → contrae SP y abdomen → baja → sube → exhala al terminar.
Peso muerto: toma la barra → inhala → Valsalva → SP y bracing → jala → exhala en lockout.
Hip thrust pesado: inhala → SP → bracing → sube → exhala al bajar completamente.</t>
  </si>
  <si>
    <t>CONEXIÓN DIAFRAGMA — SUELO PÉLVICO
(Fisiología normal durante el ejercicio)</t>
  </si>
  <si>
    <t>En respiración natural:
· Al INHALAR: diafragma baja, abdomen se expande, suelo pélvico desciende (resiste activamente)
· Al EXHALAR: diafragma sube, abdomen se contrae, suelo pélvico asciende y se activa
En esfuerzo físico (correr, levantar, saltar): la presión intraabdominal aumenta. El suelo pélvico debe aumentar su tono ANTES de que llegue esa presión. Por eso es crítico entrenarlo.</t>
  </si>
  <si>
    <t>Este mecanismo explica por qué la gente con suelo pélvico débil pierde orina al correr, saltar o toser: la presión supera la capacidad del suelo pélvico de resistirla.
Con entrenamiento Kegel diario + técnica respiratoria correcta, este mecanismo se vuelve automático y protege durante el ejercicio.</t>
  </si>
  <si>
    <t xml:space="preserve">  RESUMEN — QUÉ HACER EN CADA EJERCICIO</t>
  </si>
  <si>
    <t>Accesorio ligero → Inhala excéntrica / Exhala concéntrica  ·  Compuesto pesado → Valsalva + SP + Bracing  ·  Kegel → Exhala al contraer, Inhala al relajar</t>
  </si>
  <si>
    <t>MOVILIDAD Y SERIES DE APROXIMACIÓN</t>
  </si>
  <si>
    <t>Preparación del SNC y articulaciones antes del entrenamiento · Behm &amp; Chaouachi (2011, Scand. J. Med. Sci. Sports)</t>
  </si>
  <si>
    <t>¿POR QUÉ MOVILIDAD ACTIVA ANTES DE ENTRENAR?</t>
  </si>
  <si>
    <t>El estiramiento ESTÁTICO antes del entrenamiento reduce la fuerza hasta un 5.4% (Behm &amp; Chaouachi, 2011). El calentamiento DINÁMICO la mantiene o mejora. El objetivo no es flexibilidad pasiva sino movilidad activa: rango de movimiento con control muscular. El SNC necesita activarse específicamente para el ejercicio — una caminata en cinta NO es suficiente.</t>
  </si>
  <si>
    <t>RUTINA DE MOVILIDAD GENERAL — 8–12 MIN (TODOS LOS DÍAS DE ENTRENAMIENTO)</t>
  </si>
  <si>
    <t>Dosis</t>
  </si>
  <si>
    <t>Ejecución correcta</t>
  </si>
  <si>
    <t>Rotaciones de cuello</t>
  </si>
  <si>
    <t>Columna cervical</t>
  </si>
  <si>
    <t>5 círculos c/sentido</t>
  </si>
  <si>
    <t>Lento. Solo el peso de la cabeza. NUNCA forzar. Sin dolor.</t>
  </si>
  <si>
    <t>Rotaciones de hombros</t>
  </si>
  <si>
    <t>Glenohumeral</t>
  </si>
  <si>
    <t>10 círculos F/R</t>
  </si>
  <si>
    <t>Amplitud máxima. Progresiva. Ambos brazos.</t>
  </si>
  <si>
    <t>Apertura torácica con brazos</t>
  </si>
  <si>
    <t>Columna torácica / pecho</t>
  </si>
  <si>
    <t>10 reps</t>
  </si>
  <si>
    <t>Abrir los brazos. Exhalar al abrir. Pecho al frente.</t>
  </si>
  <si>
    <t>Rotaciones torácicas</t>
  </si>
  <si>
    <t>Columna torácica</t>
  </si>
  <si>
    <t>8 por lado</t>
  </si>
  <si>
    <t>Cuadrupedia. Codo al techo. Cadera quieta.</t>
  </si>
  <si>
    <t>Movilidad de cadera 90/90</t>
  </si>
  <si>
    <t>Cadera / rotadores</t>
  </si>
  <si>
    <t>5 transiciones/lado</t>
  </si>
  <si>
    <t>Cambiar de posición 90/90. Espalda erguida. Sin dolor.</t>
  </si>
  <si>
    <t>Apertura de cadera en estocada</t>
  </si>
  <si>
    <t>Flexor cadera / glúteo</t>
  </si>
  <si>
    <t>Rodilla trasera en suelo. Cadera hacia adelante.</t>
  </si>
  <si>
    <t>Círculos de cadera de pie</t>
  </si>
  <si>
    <t>Articulación coxofemoral</t>
  </si>
  <si>
    <t>8 círculos c/sentido</t>
  </si>
  <si>
    <t>Manos en cadera. Círculos amplios. Rodilla ligeramente flex.</t>
  </si>
  <si>
    <t>Movilidad de tobillos</t>
  </si>
  <si>
    <t>Tobillo / sóleo</t>
  </si>
  <si>
    <t>10 por lado</t>
  </si>
  <si>
    <t>Apoyado en pared. Rodilla hacia adelante sobre el pie.</t>
  </si>
  <si>
    <t>Cat-cow</t>
  </si>
  <si>
    <t>Columna completa</t>
  </si>
  <si>
    <t>Cuadrupedia. Inhala al extender, exhala al flexionar. Lento.</t>
  </si>
  <si>
    <t>Puente de glúteo — activación</t>
  </si>
  <si>
    <t>Glúteo / cadena post.</t>
  </si>
  <si>
    <t>15 reps</t>
  </si>
  <si>
    <t>Pausa 2s arriba. Activar glúteo conscientemente.</t>
  </si>
  <si>
    <t>MOVILIDAD ESPECÍFICA POR DÍA</t>
  </si>
  <si>
    <t>Día</t>
  </si>
  <si>
    <t>Zona extra</t>
  </si>
  <si>
    <t>Ejercicios adicionales</t>
  </si>
  <si>
    <t>Push / Pecho / Hombros</t>
  </si>
  <si>
    <t>Rotación interna+externa con banda · Dislocaciones con palo · Apertura pectoral en marco · 2×10 cada uno</t>
  </si>
  <si>
    <t>Pull / Espalda</t>
  </si>
  <si>
    <t>Escápulas</t>
  </si>
  <si>
    <t>Retracción-protracción en barra · Suspensión pasiva · Círculos escapulares · 2×10</t>
  </si>
  <si>
    <t>Piernas / Glúteo</t>
  </si>
  <si>
    <t>Cadera profunda</t>
  </si>
  <si>
    <t>90/90 en suelo · Frog stretch · Estocada con rotación · World's greatest stretch · 2×8/lado</t>
  </si>
  <si>
    <t>Full Upper</t>
  </si>
  <si>
    <t>Tren superior completo</t>
  </si>
  <si>
    <t>Combinar hombros + escapular + torácica · 5–8 min</t>
  </si>
  <si>
    <t>Full Body / Piernas+Brazos</t>
  </si>
  <si>
    <t>Completo</t>
  </si>
  <si>
    <t>Todos los generales · 10 min completos</t>
  </si>
  <si>
    <t>SERIES DE APROXIMACIÓN — CÓMO Y POR QUÉ</t>
  </si>
  <si>
    <t>Las series de aproximación preparan el patrón neuromuscular específico del ejercicio. NO son cardio. Son ensayos con carga progresiva para que el SNC active las unidades motoras correctas ANTES de la carga de trabajo. Resultado: más fuerza disponible, mejor técnica desde la serie 1, menor riesgo de lesión.</t>
  </si>
  <si>
    <t>Serie</t>
  </si>
  <si>
    <t>% del peso de trabajo</t>
  </si>
  <si>
    <t>Objetivo</t>
  </si>
  <si>
    <t>Calentamiento 1</t>
  </si>
  <si>
    <t>40–50%</t>
  </si>
  <si>
    <t>10–12 reps</t>
  </si>
  <si>
    <t>Activar el patrón. Sin esfuerzo. Solo movimiento.</t>
  </si>
  <si>
    <t>30s</t>
  </si>
  <si>
    <t>Calentamiento 2</t>
  </si>
  <si>
    <t>60–65%</t>
  </si>
  <si>
    <t>6–8 reps</t>
  </si>
  <si>
    <t>Sentir el ejercicio. RPE 4–5. Técnica perfecta.</t>
  </si>
  <si>
    <t>Aproximación 1</t>
  </si>
  <si>
    <t>75–80%</t>
  </si>
  <si>
    <t>4–5 reps</t>
  </si>
  <si>
    <t>Preparar el SNC. RPE 6. Ya debe sentirse el peso.</t>
  </si>
  <si>
    <t>Aproximación 2 (si necesario)</t>
  </si>
  <si>
    <t>87–90%</t>
  </si>
  <si>
    <t>2–3 reps</t>
  </si>
  <si>
    <t>Solo ejercicios muy pesados (&gt;80%RM). RPE 7–8.</t>
  </si>
  <si>
    <t>▶ Serie de trabajo 1</t>
  </si>
  <si>
    <t>100% peso de trabajo</t>
  </si>
  <si>
    <t>Reps objetivo</t>
  </si>
  <si>
    <t>SNC activado. Listo para rendir al máximo.</t>
  </si>
  <si>
    <t>Descanso completo</t>
  </si>
  <si>
    <t>REGLA CLAVE: Las aproximaciones NUNCA cansan. Si llegas fatigado a la primera serie de trabajo, fueron demasiado pesadas o con demasiadas reps. El objetivo es activar, no fatigar.</t>
  </si>
  <si>
    <t>CORE · TRAPECIOS · FUERZA DE MUÑECAS</t>
  </si>
  <si>
    <t>Músculos frecuentemente ignorados con alto impacto en rendimiento, postura y prevención de lesiones</t>
  </si>
  <si>
    <t>① CORE — FUNDAMENTOS, VOLUMEN Y EJERCICIOS</t>
  </si>
  <si>
    <t>El core NO es el abdomen. Es toda la musculatura que conecta el tren superior con el inferior. 3 funciones en hipertrofia: TRANSFERENCIA (transmite fuerza del pie a la barra), PROTECCIÓN (distribuye carga espinal en compuestos), CONTROL (posición bajo carga máxima). SIEMPRE al final — un core fatigado reduce la estabilidad en sentadilla, peso muerto e hip thrust.</t>
  </si>
  <si>
    <t>VOLUMEN DE CORE — Israetel (2019)</t>
  </si>
  <si>
    <t>Variable</t>
  </si>
  <si>
    <t>Nota científica</t>
  </si>
  <si>
    <t>Series/semana</t>
  </si>
  <si>
    <t>6–8 series</t>
  </si>
  <si>
    <t>8–12 series</t>
  </si>
  <si>
    <t>10–16 series</t>
  </si>
  <si>
    <t>MEV=6 · MAV=10 · MRV=16 (Israetel 2019)</t>
  </si>
  <si>
    <t>Frecuencia</t>
  </si>
  <si>
    <t>2×/semana</t>
  </si>
  <si>
    <t>3×/semana</t>
  </si>
  <si>
    <t>3–4×/semana</t>
  </si>
  <si>
    <t>El core se recupera rápido — mayor frecuencia viable</t>
  </si>
  <si>
    <t>Cuándo</t>
  </si>
  <si>
    <t>AL FINAL siempre</t>
  </si>
  <si>
    <t>Si se fatiga antes: pierde función en compuestos</t>
  </si>
  <si>
    <t>El fallo en core es contraproducente — RIR 1–2</t>
  </si>
  <si>
    <t>Progresión</t>
  </si>
  <si>
    <t>Más segundos / más reps</t>
  </si>
  <si>
    <t>Más series / variantes</t>
  </si>
  <si>
    <t>Carga añadida + variantes avanzadas</t>
  </si>
  <si>
    <t>Doble progresión igual que cualquier grupo</t>
  </si>
  <si>
    <t>EJERCICIOS DE CORE — PROTOCOLO COMPLETO</t>
  </si>
  <si>
    <t>Series×Reps</t>
  </si>
  <si>
    <t>RPE / Nivel</t>
  </si>
  <si>
    <t>Instrucción de ejecución</t>
  </si>
  <si>
    <t>Crunch en polea (parado o apoyado)</t>
  </si>
  <si>
    <t>Recto abdominal</t>
  </si>
  <si>
    <t>3 × 12–15</t>
  </si>
  <si>
    <t>RPE 7–8 · Princ+</t>
  </si>
  <si>
    <t>Cuerda o barra en polea alta. Parado o apoyado en banco inclinado. EXHALAR al flexionar — suelo pélvico activo. Contracción máxima abajo. No usar el peso de los brazos. La polea da tensión constante — superior al crunch en suelo.</t>
  </si>
  <si>
    <t>Press Pallof</t>
  </si>
  <si>
    <t>Core anti-rotación</t>
  </si>
  <si>
    <t>3 × 30–45s/lado</t>
  </si>
  <si>
    <t>RPE 7 · Princ+</t>
  </si>
  <si>
    <t>Polea a altura del pecho. Lateralmente. Brazos extendidos al frente. Clave: NO ROTAR. Resistir la fuerza lateral de la polea. Exhalar controlado. Replica la función real del core en cualquier ejercicio compuesto.</t>
  </si>
  <si>
    <t>Rueda abdominal (ab wheel)</t>
  </si>
  <si>
    <t>Core completo / serrato</t>
  </si>
  <si>
    <t>3 × 8–12</t>
  </si>
  <si>
    <t>RPE 8 · Avanzado</t>
  </si>
  <si>
    <t>Desde rodillas (principiante) o de pie (avanzado). Salir lento controlando la extensión — cadera NO debe caer en ningún punto. Volver contrayendo el abdomen. Si la cadera cae: regresa a la versión de rodillas hasta tener fuerza suficiente.</t>
  </si>
  <si>
    <t>Elevación de piernas colgado + elevación de cadera</t>
  </si>
  <si>
    <t>Core / hip flexors / oblicuos</t>
  </si>
  <si>
    <t>3 × 8–15</t>
  </si>
  <si>
    <t>Colgado de la barra. NO solo subir piernas — elevar la CADERA al final (retroversión pélvica). Eso activa el recto abdominal en su rango completo. Sin balanceo. Bajar controlado. Variante principiante: rodillas flexionadas o en paralelas.</t>
  </si>
  <si>
    <t>INTEGRACIÓN DEL CORE EN CADA RUTINA</t>
  </si>
  <si>
    <t>Día 1 Push: 2 ejercicios core al final · Día 3 Piernas: 1 ejercicio · Día 6 Piernas+Brazos: 2 ejercicios → 5–6 series en 3 días</t>
  </si>
  <si>
    <t>Hombre 3 días</t>
  </si>
  <si>
    <t>Día 1 Cuerpo completo: 2 ejercicios · Día 3 Superior: 1 · Día 5 Inferior: 2 → 5 series en 3 días</t>
  </si>
  <si>
    <t>Mujer 5 días</t>
  </si>
  <si>
    <t>Día 2 Tren superior: 2 ejercicios · Día 4 Pierna cuádriceps: 1 · Día 5 Full body: 2 → 5 series en 3 días</t>
  </si>
  <si>
    <t>⚠ Regla universal</t>
  </si>
  <si>
    <t>SIEMPRE al final. NUNCA antes de compuestos. Core fatigado = menos estabilidad en sentadilla, peso muerto e hip thrust.</t>
  </si>
  <si>
    <t>② TRAPECIOS — ISOMÉTRICOS Y DINÁMICOS</t>
  </si>
  <si>
    <t>Los trapecios son críticos para la estabilidad escapular y el rendimiento en todo el tren superior. La combinación de isométricos (tiempo bajo tensión) y dinámicos (rango completo) produce mayor adaptación que solo uno de los dos métodos (Schoenfeld &amp; Grgic, 2019). Volumen recomendado: 6–10 series semanales. Integrar al final del día de Pull o Upper.</t>
  </si>
  <si>
    <t>Método</t>
  </si>
  <si>
    <t>Instrucción</t>
  </si>
  <si>
    <t>Elevación de hombros — isométrica</t>
  </si>
  <si>
    <t>Trapecio superior</t>
  </si>
  <si>
    <t>3 × 20–30s</t>
  </si>
  <si>
    <t>Isométrico</t>
  </si>
  <si>
    <t>Subir hombros al máximo. MANTENER la contracción. Tensión máxima durante todo el tiempo. Bajar controlado. Progresa +5s cada semana hasta 45s.</t>
  </si>
  <si>
    <t>Elevación de hombros — dinámica</t>
  </si>
  <si>
    <t>3 × 10–15</t>
  </si>
  <si>
    <t>Dinámico</t>
  </si>
  <si>
    <t>Subir hombros al máximo. Pausa 1–2s arriba (contracción voluntaria máxima). Bajar controlado 3s. NO rotar los hombros — movimiento vertical puro.</t>
  </si>
  <si>
    <t>Elevación de hombros con barra (carga alta)</t>
  </si>
  <si>
    <t>4 × 6–8</t>
  </si>
  <si>
    <t>RPE 8–9</t>
  </si>
  <si>
    <t>Fuerza</t>
  </si>
  <si>
    <t>Mayor carga que mancuernas. Agarre pronado o neutro. Pausa 1s arriba. Escápulas activas. Progresión: doble progresión.</t>
  </si>
  <si>
    <t>Encogimiento unilateral con mancuerna</t>
  </si>
  <si>
    <t>Trapecio unilateral</t>
  </si>
  <si>
    <t>3 × 12–15/lado</t>
  </si>
  <si>
    <t>Un lado a la vez. Mayor rango y mejor conexión neuromuscular. Pausa 1s arriba.</t>
  </si>
  <si>
    <t>5s isométrico + 5 reps dinámicas (protocolo avanzado)</t>
  </si>
  <si>
    <t>Trapecio — máxima activación</t>
  </si>
  <si>
    <t>3 series</t>
  </si>
  <si>
    <t>Combinado</t>
  </si>
  <si>
    <t>Sube y mantén 5s isométrico → sin bajar, haz 5 reps dinámicas rápidas → baja. = 1 serie. Maximiza resistencia y reclutamiento de fibras rápidas simultáneamente.</t>
  </si>
  <si>
    <t>③ FUERZA DE MUÑECAS Y ANTEBRAZOS — KETTLEBELLS Y MÁS</t>
  </si>
  <si>
    <t>La fuerza de agarre y muñecas es el eslabón débil más ignorado. Limita directamente jalones, remos, peso muerto y toda tracción. Los tendones de la muñeca tardan 2–4 MESES en adaptarse (menor vascularización). Las pesas rusas son especialmente efectivas porque el centro de masa desplazado crea mayor demanda de control de muñeca en cada movimiento.</t>
  </si>
  <si>
    <t>Músculos</t>
  </si>
  <si>
    <t>Paseo del granjero (mancuerna / barra / kettlebell)</t>
  </si>
  <si>
    <t>Antebrazos / agarre / trapecio / core</t>
  </si>
  <si>
    <t>3 × 30–40m o 45–60s</t>
  </si>
  <si>
    <t>Hombros activos (no dejar caer). Espalda recta. Ritmo constante. El kettlebell añade inestabilidad que exige más control de muñeca. Progresa: más peso o más distancia/tiempo.</t>
  </si>
  <si>
    <t>Swing de kettlebell</t>
  </si>
  <si>
    <t>Glúteo / isquiotibiales / core / agarre</t>
  </si>
  <si>
    <t>4 × 15–20</t>
  </si>
  <si>
    <t>MOVIMIENTO DE CADERA, no de sentadilla. Empuje explosivo de glúteo. Muñeca neutra — no doblar nunca. Kettlebell hasta altura de hombros máximo. El agarre trabaja isométricamente en cada rep.</t>
  </si>
  <si>
    <t>Kettlebell clean + press</t>
  </si>
  <si>
    <t>Hombro / agarre / muñeca / core</t>
  </si>
  <si>
    <t>3 × 6–8/lado</t>
  </si>
  <si>
    <t>Clean: limpiar la KB desde el swing a posición rack (muñeca girada, KB en antebrazo). Press: empujar overhead. La transición clean→rack trabaja extensamente muñeca y antebrazo.</t>
  </si>
  <si>
    <t>Kettlebell bottoms-up press</t>
  </si>
  <si>
    <t>Estabilización muñeca / hombro</t>
  </si>
  <si>
    <t>3 × 5–8/lado</t>
  </si>
  <si>
    <t>Sostener la KB con el fondo hacia arriba. La inestabilidad obliga a la muñeca y el hombro a trabajar activamente para mantener equilibrio. Peso muy ligero. Alta demanda neural. Excelente para hombro y control de muñeca.</t>
  </si>
  <si>
    <t>Flexores de muñeca en polea</t>
  </si>
  <si>
    <t>Flexores del antebrazo</t>
  </si>
  <si>
    <t>3 × 15–20</t>
  </si>
  <si>
    <t>Antebrazo apoyado en banco. Solo mover la muñeca. Rango completo: extensión completa abajo, flexión completa arriba. Peso ligero — enfocarse en rango y contracción.</t>
  </si>
  <si>
    <t>Extensores de muñeca en polea</t>
  </si>
  <si>
    <t>Extensores del antebrazo</t>
  </si>
  <si>
    <t>Palma hacia abajo. Extensión completa arriba. Bajar controlado. SIEMPRE entrenar en par con flexores — el desequilibrio causa epicondilitis (codo de tenista).</t>
  </si>
  <si>
    <t>Rotaciones de muñeca con mancuerna</t>
  </si>
  <si>
    <t>Pronadores / supinadores</t>
  </si>
  <si>
    <t>2 × 15 c/dirección</t>
  </si>
  <si>
    <t>Mancuerna ligera (2–5kg). Antebrazo horizontal. Rotar completamente en ambas direcciones. Activación y movilidad articular. Ideal para el calentamiento de muñeca.</t>
  </si>
  <si>
    <t>Dead hang (colgado de barra)</t>
  </si>
  <si>
    <t>Agarre / manguito / descompresión</t>
  </si>
  <si>
    <t>3 × 30–60s</t>
  </si>
  <si>
    <t>Colgado en posición pasiva. Agarre activo sin tensar el cuerpo. Doble beneficio: fuerza de agarre + descompresión espinal + movilidad de hombro. Progresar añadiendo tiempo o peso.</t>
  </si>
  <si>
    <t>⚠ ADVERTENCIA: Los tendones de la muñeca necesitan 2–4 MESES para adaptarse a nueva carga. Progresa MÁS LENTO que en músculos. Dolor en la muñeca durante el movimiento = reducir carga, no ignorar.</t>
  </si>
  <si>
    <t>INTEGRACIÓN SEMANAL — DÓNDE Y CUÁNDO</t>
  </si>
  <si>
    <t>AL FINAL de cualquier sesión · 2–3 ejercicios · Nunca antes de compuestos · 2–3×/semana</t>
  </si>
  <si>
    <t>Trapecios</t>
  </si>
  <si>
    <t>Al final del día Pull o Upper · 2–3 ejercicios · 1–2×/semana · No necesita día propio</t>
  </si>
  <si>
    <t>Muñecas / antebrazos</t>
  </si>
  <si>
    <t>Al final del día Pull o como finisher · 2–3 ejercicios · 2×/semana · El paseo del granjero puede ir cualquier día</t>
  </si>
  <si>
    <t>Kettlebell (swing, clean)</t>
  </si>
  <si>
    <t>Inicio como activación potente O al final como finisher metabólico · 2–3×/semana</t>
  </si>
  <si>
    <t>Frecuencia total sugerida</t>
  </si>
  <si>
    <t>Core: 3×/sem · Trapecios: 1–2×/sem · Muñecas: 2×/sem — Todo se integra al FINAL de sesiones existentes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</si>
</sst>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kg&quot;"/>
  </numFmts>
  <fonts count="69" x14ac:knownFonts="1">
    <font>
      <sz val="11"/>
      <color theme="1"/>
      <name val="Calibri"/>
      <family val="2"/>
      <charset val="1"/>
    </font>
    <font>
      <b/>
      <sz val="40"/>
      <color rgb="FFE8302A"/>
      <name val="Arial"/>
      <charset val="1"/>
    </font>
    <font>
      <sz val="13"/>
      <color rgb="FF888888"/>
      <name val="Arial"/>
      <charset val="1"/>
    </font>
    <font>
      <sz val="10"/>
      <color rgb="FFE8302A"/>
      <name val="Arial"/>
      <charset val="1"/>
    </font>
    <font>
      <b/>
      <sz val="13"/>
      <color rgb="FFF0F0F0"/>
      <name val="Arial"/>
      <charset val="1"/>
    </font>
    <font>
      <b/>
      <sz val="9"/>
      <color rgb="FF888888"/>
      <name val="Arial"/>
      <charset val="1"/>
    </font>
    <font>
      <b/>
      <sz val="12"/>
      <color rgb="FFF0F0F0"/>
      <name val="Arial"/>
      <charset val="1"/>
    </font>
    <font>
      <sz val="12"/>
      <color rgb="FFF0F0F0"/>
      <name val="Arial"/>
      <charset val="1"/>
    </font>
    <font>
      <sz val="9"/>
      <color rgb="FF555555"/>
      <name val="Arial"/>
      <charset val="1"/>
    </font>
    <font>
      <b/>
      <sz val="8"/>
      <color rgb="FF555555"/>
      <name val="Arial"/>
      <charset val="1"/>
    </font>
    <font>
      <sz val="11"/>
      <color rgb="FF22C55E"/>
      <name val="Arial"/>
      <charset val="1"/>
    </font>
    <font>
      <sz val="11"/>
      <color rgb="FFEAB308"/>
      <name val="Arial"/>
      <charset val="1"/>
    </font>
    <font>
      <sz val="10"/>
      <color rgb="FF888888"/>
      <name val="Arial"/>
      <charset val="1"/>
    </font>
    <font>
      <b/>
      <sz val="12"/>
      <color rgb="FFE8302A"/>
      <name val="Arial"/>
      <charset val="1"/>
    </font>
    <font>
      <sz val="9"/>
      <color rgb="FF888888"/>
      <name val="Arial"/>
      <charset val="1"/>
    </font>
    <font>
      <sz val="11"/>
      <color rgb="FFF0F0F0"/>
      <name val="Arial"/>
      <charset val="1"/>
    </font>
    <font>
      <sz val="10"/>
      <color rgb="FFF0F0F0"/>
      <name val="Arial"/>
      <charset val="1"/>
    </font>
    <font>
      <b/>
      <sz val="13"/>
      <color rgb="FF22C55E"/>
      <name val="Arial"/>
      <charset val="1"/>
    </font>
    <font>
      <b/>
      <sz val="26"/>
      <color rgb="FFE8302A"/>
      <name val="Arial"/>
      <charset val="1"/>
    </font>
    <font>
      <sz val="10"/>
      <color rgb="FF555555"/>
      <name val="Arial"/>
      <charset val="1"/>
    </font>
    <font>
      <sz val="10"/>
      <color rgb="FFEAB308"/>
      <name val="Arial"/>
      <charset val="1"/>
    </font>
    <font>
      <b/>
      <sz val="14"/>
      <color rgb="FFF0F0F0"/>
      <name val="Arial"/>
      <charset val="1"/>
    </font>
    <font>
      <b/>
      <sz val="9"/>
      <color rgb="FFE8302A"/>
      <name val="Arial"/>
      <charset val="1"/>
    </font>
    <font>
      <b/>
      <sz val="11"/>
      <color rgb="FFF0F0F0"/>
      <name val="Arial"/>
      <charset val="1"/>
    </font>
    <font>
      <i/>
      <sz val="9"/>
      <color rgb="FF888888"/>
      <name val="Arial"/>
      <charset val="1"/>
    </font>
    <font>
      <b/>
      <sz val="13"/>
      <color rgb="FFE8302A"/>
      <name val="Arial"/>
      <charset val="1"/>
    </font>
    <font>
      <b/>
      <sz val="10"/>
      <color rgb="FFFCD34D"/>
      <name val="Arial"/>
      <charset val="1"/>
    </font>
    <font>
      <b/>
      <sz val="10"/>
      <color rgb="FF4ADE80"/>
      <name val="Arial"/>
      <charset val="1"/>
    </font>
    <font>
      <b/>
      <sz val="10"/>
      <color rgb="FFF0F0F0"/>
      <name val="Arial"/>
      <charset val="1"/>
    </font>
    <font>
      <i/>
      <sz val="8"/>
      <color rgb="FF555555"/>
      <name val="Arial"/>
      <charset val="1"/>
    </font>
    <font>
      <b/>
      <sz val="9"/>
      <color rgb="FF3B82F6"/>
      <name val="Arial"/>
      <charset val="1"/>
    </font>
    <font>
      <b/>
      <sz val="9"/>
      <color rgb="FF22C55E"/>
      <name val="Arial"/>
      <charset val="1"/>
    </font>
    <font>
      <b/>
      <sz val="12"/>
      <color rgb="FF555555"/>
      <name val="Arial"/>
      <charset val="1"/>
    </font>
    <font>
      <b/>
      <sz val="9"/>
      <color rgb="FFA855F7"/>
      <name val="Arial"/>
      <charset val="1"/>
    </font>
    <font>
      <b/>
      <sz val="9"/>
      <color rgb="FFEAB308"/>
      <name val="Arial"/>
      <charset val="1"/>
    </font>
    <font>
      <b/>
      <sz val="12"/>
      <color rgb="FF888888"/>
      <name val="Arial"/>
      <charset val="1"/>
    </font>
    <font>
      <b/>
      <sz val="16"/>
      <color rgb="FFE8302A"/>
      <name val="Arial"/>
      <charset val="1"/>
    </font>
    <font>
      <b/>
      <sz val="16"/>
      <color rgb="FFF87171"/>
      <name val="Arial"/>
      <charset val="1"/>
    </font>
    <font>
      <b/>
      <sz val="12"/>
      <color rgb="FFF87171"/>
      <name val="Arial"/>
      <charset val="1"/>
    </font>
    <font>
      <b/>
      <sz val="16"/>
      <color rgb="FFEAB308"/>
      <name val="Arial"/>
      <charset val="1"/>
    </font>
    <font>
      <b/>
      <sz val="12"/>
      <color rgb="FFEAB308"/>
      <name val="Arial"/>
      <charset val="1"/>
    </font>
    <font>
      <b/>
      <sz val="16"/>
      <color rgb="FF22C55E"/>
      <name val="Arial"/>
      <charset val="1"/>
    </font>
    <font>
      <b/>
      <sz val="12"/>
      <color rgb="FF22C55E"/>
      <name val="Arial"/>
      <charset val="1"/>
    </font>
    <font>
      <b/>
      <sz val="16"/>
      <color rgb="FF888888"/>
      <name val="Arial"/>
      <charset val="1"/>
    </font>
    <font>
      <b/>
      <sz val="10"/>
      <color rgb="FF888888"/>
      <name val="Arial"/>
      <charset val="1"/>
    </font>
    <font>
      <sz val="11"/>
      <color rgb="FF888888"/>
      <name val="Arial"/>
      <charset val="1"/>
    </font>
    <font>
      <sz val="11"/>
      <color rgb="FFF87171"/>
      <name val="Arial"/>
      <charset val="1"/>
    </font>
    <font>
      <sz val="10"/>
      <color rgb="FF22C55E"/>
      <name val="Arial"/>
      <charset val="1"/>
    </font>
    <font>
      <b/>
      <sz val="10"/>
      <color rgb="FFE8302A"/>
      <name val="Arial"/>
      <charset val="1"/>
    </font>
    <font>
      <b/>
      <sz val="11"/>
      <color rgb="FF22C55E"/>
      <name val="Arial"/>
      <charset val="1"/>
    </font>
    <font>
      <b/>
      <sz val="11"/>
      <color rgb="FFEAB308"/>
      <name val="Arial"/>
      <charset val="1"/>
    </font>
    <font>
      <b/>
      <sz val="11"/>
      <color rgb="FFF87171"/>
      <name val="Arial"/>
      <charset val="1"/>
    </font>
    <font>
      <b/>
      <sz val="11"/>
      <color rgb="FF3B82F6"/>
      <name val="Arial"/>
      <charset val="1"/>
    </font>
    <font>
      <b/>
      <sz val="11"/>
      <color rgb="FF888888"/>
      <name val="Arial"/>
      <charset val="1"/>
    </font>
    <font>
      <b/>
      <sz val="11"/>
      <color rgb="FF4ADE80"/>
      <name val="Arial"/>
      <charset val="1"/>
    </font>
    <font>
      <sz val="11"/>
      <color rgb="FF4ADE80"/>
      <name val="Arial"/>
      <charset val="1"/>
    </font>
    <font>
      <b/>
      <sz val="11"/>
      <color rgb="FFFCD34D"/>
      <name val="Arial"/>
      <charset val="1"/>
    </font>
    <font>
      <sz val="11"/>
      <color rgb="FFFCD34D"/>
      <name val="Arial"/>
      <charset val="1"/>
    </font>
    <font>
      <b/>
      <sz val="11"/>
      <color rgb="FFFCA5A5"/>
      <name val="Arial"/>
      <charset val="1"/>
    </font>
    <font>
      <sz val="11"/>
      <color rgb="FFFCA5A5"/>
      <name val="Arial"/>
      <charset val="1"/>
    </font>
    <font>
      <i/>
      <sz val="9"/>
      <color rgb="FFF87171"/>
      <name val="Arial"/>
      <charset val="1"/>
    </font>
    <font>
      <b/>
      <sz val="10"/>
      <color rgb="FF3B82F6"/>
      <name val="Arial"/>
      <charset val="1"/>
    </font>
    <font>
      <b/>
      <sz val="22"/>
      <color rgb="FF22C55E"/>
      <name val="Arial"/>
      <charset val="1"/>
    </font>
    <font>
      <i/>
      <sz val="9"/>
      <color rgb="FF555555"/>
      <name val="Arial"/>
      <charset val="1"/>
    </font>
    <font>
      <b/>
      <sz val="10"/>
      <color rgb="FFEAB308"/>
      <name val="Arial"/>
      <charset val="1"/>
    </font>
    <font>
      <b/>
      <sz val="10"/>
      <color rgb="FF22C55E"/>
      <name val="Arial"/>
      <charset val="1"/>
    </font>
    <font>
      <b/>
      <sz val="22"/>
      <color rgb="FFEAB308"/>
      <name val="Arial"/>
      <charset val="1"/>
    </font>
    <font>
      <b/>
      <sz val="10"/>
      <color rgb="FFF97316"/>
      <name val="Arial"/>
      <charset val="1"/>
    </font>
    <font>
      <b/>
      <sz val="10"/>
      <color rgb="FFF87171"/>
      <name val="Arial"/>
      <charset val="1"/>
    </font>
  </fonts>
  <fills count="15">
    <fill>
      <patternFill patternType="none"/>
    </fill>
    <fill>
      <patternFill patternType="gray125"/>
    </fill>
    <fill>
      <patternFill patternType="solid">
        <fgColor rgb="FF080808"/>
        <bgColor rgb="FF000000"/>
      </patternFill>
    </fill>
    <fill>
      <patternFill patternType="solid">
        <fgColor rgb="FFE8302A"/>
        <bgColor rgb="FF991B1B"/>
      </patternFill>
    </fill>
    <fill>
      <patternFill patternType="solid">
        <fgColor rgb="FF1A1A1A"/>
        <bgColor rgb="FF222222"/>
      </patternFill>
    </fill>
    <fill>
      <patternFill patternType="solid">
        <fgColor rgb="FF222222"/>
        <bgColor rgb="FF2A2A2A"/>
      </patternFill>
    </fill>
    <fill>
      <patternFill patternType="solid">
        <fgColor rgb="FF2A1A00"/>
        <bgColor rgb="FF1A1A1A"/>
      </patternFill>
    </fill>
    <fill>
      <patternFill patternType="solid">
        <fgColor rgb="FF111111"/>
        <bgColor rgb="FF080808"/>
      </patternFill>
    </fill>
    <fill>
      <patternFill patternType="solid">
        <fgColor rgb="FF2A2A2A"/>
        <bgColor rgb="FF222222"/>
      </patternFill>
    </fill>
    <fill>
      <patternFill patternType="solid">
        <fgColor rgb="FF854D0E"/>
        <bgColor rgb="FF555555"/>
      </patternFill>
    </fill>
    <fill>
      <patternFill patternType="solid">
        <fgColor rgb="FF166534"/>
        <bgColor rgb="FF1E3A2F"/>
      </patternFill>
    </fill>
    <fill>
      <patternFill patternType="solid">
        <fgColor rgb="FF1E3A2F"/>
        <bgColor rgb="FF2A2A2A"/>
      </patternFill>
    </fill>
    <fill>
      <patternFill patternType="solid">
        <fgColor rgb="FF991B1B"/>
        <bgColor rgb="FF7F1D1D"/>
      </patternFill>
    </fill>
    <fill>
      <patternFill patternType="solid">
        <fgColor rgb="FF7F1D1D"/>
        <bgColor rgb="FF991B1B"/>
      </patternFill>
    </fill>
    <fill>
      <patternFill patternType="solid">
        <fgColor rgb="FF3B82F6"/>
        <bgColor rgb="FF0066CC"/>
      </patternFill>
    </fill>
  </fills>
  <borders count="12">
    <border>
      <left/>
      <right/>
      <top/>
      <bottom/>
      <diagonal/>
    </border>
    <border>
      <left style="thin">
        <color rgb="FF2A2A2A"/>
      </left>
      <right/>
      <top style="thin">
        <color rgb="FF2A2A2A"/>
      </top>
      <bottom style="thin">
        <color rgb="FF2A2A2A"/>
      </bottom>
      <diagonal/>
    </border>
    <border>
      <left style="thin">
        <color rgb="FFE8302A"/>
      </left>
      <right/>
      <top style="thin">
        <color rgb="FFE8302A"/>
      </top>
      <bottom style="thin">
        <color rgb="FFE8302A"/>
      </bottom>
      <diagonal/>
    </border>
    <border>
      <left style="thin">
        <color rgb="FF2A2A2A"/>
      </left>
      <right style="thin">
        <color rgb="FF2A2A2A"/>
      </right>
      <top style="thin">
        <color rgb="FF2A2A2A"/>
      </top>
      <bottom style="thin">
        <color rgb="FF2A2A2A"/>
      </bottom>
      <diagonal/>
    </border>
    <border>
      <left style="thin">
        <color rgb="FFE8302A"/>
      </left>
      <right style="thin">
        <color rgb="FFE8302A"/>
      </right>
      <top style="thin">
        <color rgb="FFE8302A"/>
      </top>
      <bottom style="thin">
        <color rgb="FFE8302A"/>
      </bottom>
      <diagonal/>
    </border>
    <border>
      <left style="thin">
        <color rgb="FF22C55E"/>
      </left>
      <right style="thin">
        <color rgb="FF22C55E"/>
      </right>
      <top style="thin">
        <color rgb="FF22C55E"/>
      </top>
      <bottom style="thin">
        <color rgb="FF22C55E"/>
      </bottom>
      <diagonal/>
    </border>
    <border>
      <left style="thin">
        <color rgb="FFEAB308"/>
      </left>
      <right style="thin">
        <color rgb="FFEAB308"/>
      </right>
      <top style="thin">
        <color rgb="FFEAB308"/>
      </top>
      <bottom style="thin">
        <color rgb="FFEAB308"/>
      </bottom>
      <diagonal/>
    </border>
    <border>
      <left style="thin">
        <color rgb="FF22C55E"/>
      </left>
      <right/>
      <top style="thin">
        <color rgb="FF22C55E"/>
      </top>
      <bottom style="thin">
        <color rgb="FF22C55E"/>
      </bottom>
      <diagonal/>
    </border>
    <border>
      <left style="thin">
        <color rgb="FF3B82F6"/>
      </left>
      <right/>
      <top style="thin">
        <color rgb="FF3B82F6"/>
      </top>
      <bottom style="thin">
        <color rgb="FF3B82F6"/>
      </bottom>
      <diagonal/>
    </border>
    <border>
      <left style="thin">
        <color rgb="FF3A3A3A"/>
      </left>
      <right/>
      <top style="thin">
        <color rgb="FF3A3A3A"/>
      </top>
      <bottom style="thin">
        <color rgb="FF3A3A3A"/>
      </bottom>
      <diagonal/>
    </border>
    <border>
      <left style="thin">
        <color rgb="FFA855F7"/>
      </left>
      <right/>
      <top style="thin">
        <color rgb="FFA855F7"/>
      </top>
      <bottom style="thin">
        <color rgb="FFA855F7"/>
      </bottom>
      <diagonal/>
    </border>
    <border>
      <left style="thin">
        <color rgb="FFEAB308"/>
      </left>
      <right/>
      <top style="thin">
        <color rgb="FFEAB308"/>
      </top>
      <bottom style="thin">
        <color rgb="FFEAB308"/>
      </bottom>
      <diagonal/>
    </border>
  </borders>
  <cellStyleXfs count="1">
    <xf numFmtId="0" fontId="0" fillId="0" borderId="0"/>
  </cellStyleXfs>
  <cellXfs count="160">
    <xf numFmtId="0" fontId="0" fillId="0" borderId="0" xfId="0"/>
    <xf numFmtId="0" fontId="8" fillId="4" borderId="1" xfId="0" applyFont="1" applyFill="1" applyBorder="1" applyAlignment="1">
      <alignment horizontal="left" vertical="center" wrapText="1"/>
    </xf>
    <xf numFmtId="9" fontId="17" fillId="5" borderId="7" xfId="0" applyNumberFormat="1" applyFont="1" applyFill="1" applyBorder="1" applyAlignment="1">
      <alignment horizontal="center" vertical="center" wrapText="1"/>
    </xf>
    <xf numFmtId="0" fontId="13" fillId="5" borderId="4" xfId="0" applyFont="1" applyFill="1" applyBorder="1" applyAlignment="1">
      <alignment horizontal="center" vertical="center"/>
    </xf>
    <xf numFmtId="0" fontId="15" fillId="5" borderId="3" xfId="0" applyFont="1" applyFill="1" applyBorder="1" applyAlignment="1">
      <alignment horizontal="center" vertical="center"/>
    </xf>
    <xf numFmtId="0" fontId="7" fillId="6" borderId="4" xfId="0" applyFont="1" applyFill="1" applyBorder="1" applyAlignment="1">
      <alignment horizontal="center" vertical="center"/>
    </xf>
    <xf numFmtId="0" fontId="14" fillId="4" borderId="1" xfId="0" applyFont="1" applyFill="1" applyBorder="1" applyAlignment="1">
      <alignment horizontal="left" vertical="center" wrapText="1"/>
    </xf>
    <xf numFmtId="0" fontId="13" fillId="5" borderId="2" xfId="0" applyFont="1" applyFill="1" applyBorder="1" applyAlignment="1">
      <alignment horizontal="center" vertical="center" wrapText="1"/>
    </xf>
    <xf numFmtId="0" fontId="12" fillId="4" borderId="1" xfId="0" applyFont="1" applyFill="1" applyBorder="1" applyAlignment="1">
      <alignment horizontal="right" vertical="center" wrapText="1"/>
    </xf>
    <xf numFmtId="0" fontId="8" fillId="7" borderId="1" xfId="0" applyFont="1" applyFill="1" applyBorder="1" applyAlignment="1">
      <alignment horizontal="right" vertical="center" wrapText="1"/>
    </xf>
    <xf numFmtId="0" fontId="8" fillId="7" borderId="1" xfId="0" applyFont="1" applyFill="1" applyBorder="1" applyAlignment="1">
      <alignment horizontal="center" vertical="center" wrapText="1"/>
    </xf>
    <xf numFmtId="0" fontId="4" fillId="3" borderId="2" xfId="0" applyFont="1" applyFill="1" applyBorder="1" applyAlignment="1">
      <alignment horizontal="left" vertical="center"/>
    </xf>
    <xf numFmtId="0" fontId="3"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2" borderId="0" xfId="0" applyFill="1"/>
    <xf numFmtId="0" fontId="5" fillId="4" borderId="3" xfId="0" applyFont="1" applyFill="1" applyBorder="1" applyAlignment="1">
      <alignment horizontal="center" vertical="center"/>
    </xf>
    <xf numFmtId="0" fontId="6" fillId="5" borderId="4" xfId="0" applyFont="1" applyFill="1" applyBorder="1" applyAlignment="1">
      <alignment horizontal="center" vertical="center"/>
    </xf>
    <xf numFmtId="0" fontId="7" fillId="6" borderId="4" xfId="0" applyFont="1" applyFill="1" applyBorder="1" applyAlignment="1">
      <alignment horizontal="center" vertical="center"/>
    </xf>
    <xf numFmtId="0" fontId="7" fillId="5" borderId="4" xfId="0" applyFont="1" applyFill="1" applyBorder="1" applyAlignment="1">
      <alignment horizontal="center" vertical="center"/>
    </xf>
    <xf numFmtId="0" fontId="9" fillId="7" borderId="3" xfId="0" applyFont="1" applyFill="1" applyBorder="1" applyAlignment="1">
      <alignment horizontal="center" vertical="center"/>
    </xf>
    <xf numFmtId="0" fontId="10" fillId="4" borderId="5" xfId="0" applyFont="1" applyFill="1" applyBorder="1" applyAlignment="1">
      <alignment horizontal="center" vertical="center"/>
    </xf>
    <xf numFmtId="164" fontId="11" fillId="4" borderId="6" xfId="0" applyNumberFormat="1" applyFont="1" applyFill="1" applyBorder="1" applyAlignment="1">
      <alignment horizontal="center" vertical="center"/>
    </xf>
    <xf numFmtId="0" fontId="15" fillId="5" borderId="3" xfId="0" applyFont="1" applyFill="1" applyBorder="1" applyAlignment="1">
      <alignment horizontal="center" vertical="center"/>
    </xf>
    <xf numFmtId="0" fontId="16" fillId="6" borderId="4" xfId="0" applyFont="1" applyFill="1" applyBorder="1" applyAlignment="1">
      <alignment horizontal="center" vertical="center" wrapText="1"/>
    </xf>
    <xf numFmtId="0" fontId="5" fillId="8" borderId="3" xfId="0" applyFont="1" applyFill="1" applyBorder="1" applyAlignment="1">
      <alignment horizontal="center" vertical="center"/>
    </xf>
    <xf numFmtId="0" fontId="8" fillId="5" borderId="3" xfId="0" applyFont="1" applyFill="1" applyBorder="1" applyAlignment="1">
      <alignment horizontal="center" vertical="center"/>
    </xf>
    <xf numFmtId="0" fontId="23" fillId="5" borderId="3" xfId="0" applyFont="1" applyFill="1" applyBorder="1" applyAlignment="1">
      <alignment horizontal="left" vertical="center"/>
    </xf>
    <xf numFmtId="0" fontId="24" fillId="5" borderId="3" xfId="0" applyFont="1" applyFill="1" applyBorder="1" applyAlignment="1">
      <alignment horizontal="left" vertical="center"/>
    </xf>
    <xf numFmtId="0" fontId="25" fillId="5" borderId="3" xfId="0" applyFont="1" applyFill="1" applyBorder="1" applyAlignment="1">
      <alignment horizontal="center" vertical="center"/>
    </xf>
    <xf numFmtId="0" fontId="11" fillId="5" borderId="3" xfId="0" applyFont="1" applyFill="1" applyBorder="1" applyAlignment="1">
      <alignment horizontal="center" vertical="center"/>
    </xf>
    <xf numFmtId="0" fontId="12" fillId="5" borderId="3" xfId="0" applyFont="1" applyFill="1" applyBorder="1" applyAlignment="1">
      <alignment horizontal="center" vertical="center"/>
    </xf>
    <xf numFmtId="0" fontId="26" fillId="9" borderId="3" xfId="0" applyFont="1" applyFill="1" applyBorder="1" applyAlignment="1">
      <alignment horizontal="center" vertical="center"/>
    </xf>
    <xf numFmtId="0" fontId="24" fillId="5" borderId="3" xfId="0" applyFont="1" applyFill="1" applyBorder="1" applyAlignment="1">
      <alignment horizontal="left" vertical="center" wrapText="1"/>
    </xf>
    <xf numFmtId="0" fontId="8" fillId="4" borderId="3" xfId="0" applyFont="1" applyFill="1" applyBorder="1" applyAlignment="1">
      <alignment horizontal="center" vertical="center"/>
    </xf>
    <xf numFmtId="0" fontId="23" fillId="4" borderId="3" xfId="0" applyFont="1" applyFill="1" applyBorder="1" applyAlignment="1">
      <alignment horizontal="left" vertical="center"/>
    </xf>
    <xf numFmtId="0" fontId="24" fillId="4" borderId="3" xfId="0" applyFont="1" applyFill="1" applyBorder="1" applyAlignment="1">
      <alignment horizontal="left" vertical="center"/>
    </xf>
    <xf numFmtId="0" fontId="25" fillId="4" borderId="3" xfId="0" applyFont="1" applyFill="1" applyBorder="1" applyAlignment="1">
      <alignment horizontal="center" vertical="center"/>
    </xf>
    <xf numFmtId="0" fontId="11" fillId="4" borderId="3" xfId="0" applyFont="1" applyFill="1" applyBorder="1" applyAlignment="1">
      <alignment horizontal="center" vertical="center"/>
    </xf>
    <xf numFmtId="0" fontId="12" fillId="4" borderId="3" xfId="0" applyFont="1" applyFill="1" applyBorder="1" applyAlignment="1">
      <alignment horizontal="center" vertical="center"/>
    </xf>
    <xf numFmtId="0" fontId="27" fillId="10" borderId="3" xfId="0" applyFont="1" applyFill="1" applyBorder="1" applyAlignment="1">
      <alignment horizontal="center" vertical="center"/>
    </xf>
    <xf numFmtId="0" fontId="24" fillId="4" borderId="3" xfId="0" applyFont="1" applyFill="1" applyBorder="1" applyAlignment="1">
      <alignment horizontal="left" vertical="center" wrapText="1"/>
    </xf>
    <xf numFmtId="0" fontId="28" fillId="4" borderId="3" xfId="0" applyFont="1" applyFill="1" applyBorder="1" applyAlignment="1">
      <alignment horizontal="center" vertical="center"/>
    </xf>
    <xf numFmtId="0" fontId="36" fillId="5" borderId="3" xfId="0" applyFont="1" applyFill="1" applyBorder="1" applyAlignment="1">
      <alignment horizontal="center" vertical="center"/>
    </xf>
    <xf numFmtId="0" fontId="13" fillId="5" borderId="3" xfId="0" applyFont="1" applyFill="1" applyBorder="1" applyAlignment="1">
      <alignment horizontal="left" vertical="center"/>
    </xf>
    <xf numFmtId="0" fontId="37" fillId="4" borderId="3" xfId="0" applyFont="1" applyFill="1" applyBorder="1" applyAlignment="1">
      <alignment horizontal="center" vertical="center"/>
    </xf>
    <xf numFmtId="0" fontId="38" fillId="4" borderId="3" xfId="0" applyFont="1" applyFill="1" applyBorder="1" applyAlignment="1">
      <alignment horizontal="left" vertical="center"/>
    </xf>
    <xf numFmtId="0" fontId="39" fillId="5" borderId="3" xfId="0" applyFont="1" applyFill="1" applyBorder="1" applyAlignment="1">
      <alignment horizontal="center" vertical="center"/>
    </xf>
    <xf numFmtId="0" fontId="40" fillId="5" borderId="3" xfId="0" applyFont="1" applyFill="1" applyBorder="1" applyAlignment="1">
      <alignment horizontal="left" vertical="center"/>
    </xf>
    <xf numFmtId="0" fontId="41" fillId="4" borderId="3" xfId="0" applyFont="1" applyFill="1" applyBorder="1" applyAlignment="1">
      <alignment horizontal="center" vertical="center"/>
    </xf>
    <xf numFmtId="0" fontId="42" fillId="4" borderId="3" xfId="0" applyFont="1" applyFill="1" applyBorder="1" applyAlignment="1">
      <alignment horizontal="left" vertical="center"/>
    </xf>
    <xf numFmtId="0" fontId="43" fillId="5" borderId="3" xfId="0" applyFont="1" applyFill="1" applyBorder="1" applyAlignment="1">
      <alignment horizontal="center" vertical="center"/>
    </xf>
    <xf numFmtId="0" fontId="35" fillId="5" borderId="3" xfId="0" applyFont="1" applyFill="1" applyBorder="1" applyAlignment="1">
      <alignment horizontal="left" vertical="center"/>
    </xf>
    <xf numFmtId="0" fontId="44" fillId="8" borderId="3" xfId="0" applyFont="1" applyFill="1" applyBorder="1" applyAlignment="1">
      <alignment horizontal="center" vertical="center"/>
    </xf>
    <xf numFmtId="0" fontId="45" fillId="5" borderId="3" xfId="0" applyFont="1" applyFill="1" applyBorder="1" applyAlignment="1">
      <alignment horizontal="center" vertical="center"/>
    </xf>
    <xf numFmtId="0" fontId="42" fillId="5" borderId="3" xfId="0" applyFont="1" applyFill="1" applyBorder="1" applyAlignment="1">
      <alignment horizontal="center" vertical="center"/>
    </xf>
    <xf numFmtId="0" fontId="46"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7" fillId="5" borderId="3" xfId="0" applyFont="1" applyFill="1" applyBorder="1" applyAlignment="1">
      <alignment horizontal="center" vertical="center"/>
    </xf>
    <xf numFmtId="0" fontId="45" fillId="4" borderId="3" xfId="0" applyFont="1" applyFill="1" applyBorder="1" applyAlignment="1">
      <alignment horizontal="center" vertical="center"/>
    </xf>
    <xf numFmtId="0" fontId="42" fillId="4" borderId="3" xfId="0" applyFont="1" applyFill="1" applyBorder="1" applyAlignment="1">
      <alignment horizontal="center" vertical="center"/>
    </xf>
    <xf numFmtId="0" fontId="46"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7" fillId="4" borderId="3" xfId="0" applyFont="1" applyFill="1" applyBorder="1" applyAlignment="1">
      <alignment horizontal="center" vertical="center"/>
    </xf>
    <xf numFmtId="0" fontId="48" fillId="5" borderId="3" xfId="0" applyFont="1" applyFill="1" applyBorder="1" applyAlignment="1">
      <alignment horizontal="center" vertical="center"/>
    </xf>
    <xf numFmtId="0" fontId="6" fillId="5" borderId="3" xfId="0" applyFont="1" applyFill="1" applyBorder="1" applyAlignment="1">
      <alignment horizontal="left" vertical="center"/>
    </xf>
    <xf numFmtId="0" fontId="48" fillId="4" borderId="3" xfId="0" applyFont="1" applyFill="1" applyBorder="1" applyAlignment="1">
      <alignment horizontal="center" vertical="center"/>
    </xf>
    <xf numFmtId="0" fontId="6" fillId="4" borderId="3" xfId="0" applyFont="1" applyFill="1" applyBorder="1" applyAlignment="1">
      <alignment horizontal="left" vertical="center"/>
    </xf>
    <xf numFmtId="0" fontId="49" fillId="5" borderId="3" xfId="0" applyFont="1" applyFill="1" applyBorder="1" applyAlignment="1">
      <alignment horizontal="center" vertical="center"/>
    </xf>
    <xf numFmtId="0" fontId="49" fillId="5" borderId="3" xfId="0" applyFont="1" applyFill="1" applyBorder="1" applyAlignment="1">
      <alignment horizontal="left" vertical="center"/>
    </xf>
    <xf numFmtId="0" fontId="50" fillId="4" borderId="3" xfId="0" applyFont="1" applyFill="1" applyBorder="1" applyAlignment="1">
      <alignment horizontal="center" vertical="center"/>
    </xf>
    <xf numFmtId="0" fontId="50" fillId="4" borderId="3" xfId="0" applyFont="1" applyFill="1" applyBorder="1" applyAlignment="1">
      <alignment horizontal="left" vertical="center"/>
    </xf>
    <xf numFmtId="0" fontId="51" fillId="5" borderId="3" xfId="0" applyFont="1" applyFill="1" applyBorder="1" applyAlignment="1">
      <alignment horizontal="center" vertical="center"/>
    </xf>
    <xf numFmtId="0" fontId="51" fillId="5" borderId="3" xfId="0" applyFont="1" applyFill="1" applyBorder="1" applyAlignment="1">
      <alignment horizontal="left" vertical="center"/>
    </xf>
    <xf numFmtId="0" fontId="52" fillId="4" borderId="3" xfId="0" applyFont="1" applyFill="1" applyBorder="1" applyAlignment="1">
      <alignment horizontal="center" vertical="center"/>
    </xf>
    <xf numFmtId="0" fontId="52" fillId="4" borderId="3" xfId="0" applyFont="1" applyFill="1" applyBorder="1" applyAlignment="1">
      <alignment horizontal="left" vertical="center"/>
    </xf>
    <xf numFmtId="0" fontId="49" fillId="11" borderId="3" xfId="0" applyFont="1" applyFill="1" applyBorder="1" applyAlignment="1">
      <alignment horizontal="center" vertical="center"/>
    </xf>
    <xf numFmtId="0" fontId="10" fillId="5" borderId="3" xfId="0" applyFont="1" applyFill="1" applyBorder="1" applyAlignment="1">
      <alignment horizontal="left" vertical="center"/>
    </xf>
    <xf numFmtId="0" fontId="54" fillId="10" borderId="3" xfId="0" applyFont="1" applyFill="1" applyBorder="1" applyAlignment="1">
      <alignment horizontal="center" vertical="center"/>
    </xf>
    <xf numFmtId="0" fontId="55" fillId="4" borderId="3" xfId="0" applyFont="1" applyFill="1" applyBorder="1" applyAlignment="1">
      <alignment horizontal="left" vertical="center"/>
    </xf>
    <xf numFmtId="0" fontId="56" fillId="9" borderId="3" xfId="0" applyFont="1" applyFill="1" applyBorder="1" applyAlignment="1">
      <alignment horizontal="center" vertical="center"/>
    </xf>
    <xf numFmtId="0" fontId="57" fillId="5" borderId="3" xfId="0" applyFont="1" applyFill="1" applyBorder="1" applyAlignment="1">
      <alignment horizontal="left" vertical="center"/>
    </xf>
    <xf numFmtId="0" fontId="51" fillId="12" borderId="3" xfId="0" applyFont="1" applyFill="1" applyBorder="1" applyAlignment="1">
      <alignment horizontal="center" vertical="center"/>
    </xf>
    <xf numFmtId="0" fontId="46" fillId="4" borderId="3" xfId="0" applyFont="1" applyFill="1" applyBorder="1" applyAlignment="1">
      <alignment horizontal="left" vertical="center"/>
    </xf>
    <xf numFmtId="0" fontId="58" fillId="13" borderId="3" xfId="0" applyFont="1" applyFill="1" applyBorder="1" applyAlignment="1">
      <alignment horizontal="center" vertical="center"/>
    </xf>
    <xf numFmtId="0" fontId="59" fillId="5" borderId="3" xfId="0" applyFont="1" applyFill="1" applyBorder="1" applyAlignment="1">
      <alignment horizontal="left" vertical="center"/>
    </xf>
    <xf numFmtId="0" fontId="44" fillId="4" borderId="3" xfId="0" applyFont="1" applyFill="1" applyBorder="1" applyAlignment="1">
      <alignment horizontal="center" vertical="center"/>
    </xf>
    <xf numFmtId="0" fontId="48" fillId="5" borderId="3" xfId="0" applyFont="1" applyFill="1" applyBorder="1" applyAlignment="1">
      <alignment horizontal="left" vertical="top" wrapText="1"/>
    </xf>
    <xf numFmtId="0" fontId="16" fillId="5" borderId="3" xfId="0" applyFont="1" applyFill="1" applyBorder="1" applyAlignment="1">
      <alignment horizontal="left" vertical="top" wrapText="1"/>
    </xf>
    <xf numFmtId="0" fontId="60" fillId="5" borderId="3" xfId="0" applyFont="1" applyFill="1" applyBorder="1" applyAlignment="1">
      <alignment horizontal="left" vertical="top" wrapText="1"/>
    </xf>
    <xf numFmtId="0" fontId="48" fillId="4" borderId="3" xfId="0" applyFont="1" applyFill="1" applyBorder="1" applyAlignment="1">
      <alignment horizontal="left" vertical="top" wrapText="1"/>
    </xf>
    <xf numFmtId="0" fontId="16" fillId="4" borderId="3" xfId="0" applyFont="1" applyFill="1" applyBorder="1" applyAlignment="1">
      <alignment horizontal="left" vertical="top" wrapText="1"/>
    </xf>
    <xf numFmtId="0" fontId="60" fillId="4" borderId="3" xfId="0" applyFont="1" applyFill="1" applyBorder="1" applyAlignment="1">
      <alignment horizontal="left" vertical="top" wrapText="1"/>
    </xf>
    <xf numFmtId="0" fontId="61" fillId="5" borderId="3" xfId="0" applyFont="1" applyFill="1" applyBorder="1" applyAlignment="1">
      <alignment horizontal="left" vertical="top" wrapText="1"/>
    </xf>
    <xf numFmtId="0" fontId="24" fillId="5" borderId="3" xfId="0" applyFont="1" applyFill="1" applyBorder="1" applyAlignment="1">
      <alignment horizontal="left" vertical="top" wrapText="1"/>
    </xf>
    <xf numFmtId="0" fontId="61" fillId="4" borderId="3" xfId="0" applyFont="1" applyFill="1" applyBorder="1" applyAlignment="1">
      <alignment horizontal="left" vertical="top" wrapText="1"/>
    </xf>
    <xf numFmtId="0" fontId="24" fillId="4" borderId="3" xfId="0" applyFont="1" applyFill="1" applyBorder="1" applyAlignment="1">
      <alignment horizontal="left" vertical="top" wrapText="1"/>
    </xf>
    <xf numFmtId="0" fontId="20" fillId="5" borderId="3" xfId="0" applyFont="1" applyFill="1" applyBorder="1" applyAlignment="1">
      <alignment horizontal="center" vertical="center"/>
    </xf>
    <xf numFmtId="0" fontId="14" fillId="5" borderId="3" xfId="0" applyFont="1" applyFill="1" applyBorder="1" applyAlignment="1">
      <alignment horizontal="left" vertical="center" wrapText="1"/>
    </xf>
    <xf numFmtId="0" fontId="20" fillId="4" borderId="3" xfId="0" applyFont="1" applyFill="1" applyBorder="1" applyAlignment="1">
      <alignment horizontal="center" vertical="center"/>
    </xf>
    <xf numFmtId="0" fontId="14" fillId="4" borderId="3" xfId="0" applyFont="1" applyFill="1" applyBorder="1" applyAlignment="1">
      <alignment horizontal="left" vertical="center" wrapText="1"/>
    </xf>
    <xf numFmtId="0" fontId="48" fillId="5" borderId="3" xfId="0" applyFont="1" applyFill="1" applyBorder="1" applyAlignment="1">
      <alignment horizontal="left" vertical="center"/>
    </xf>
    <xf numFmtId="0" fontId="64" fillId="5" borderId="3" xfId="0" applyFont="1" applyFill="1" applyBorder="1" applyAlignment="1">
      <alignment horizontal="left" vertical="center"/>
    </xf>
    <xf numFmtId="0" fontId="48" fillId="4" borderId="3" xfId="0" applyFont="1" applyFill="1" applyBorder="1" applyAlignment="1">
      <alignment horizontal="left" vertical="center"/>
    </xf>
    <xf numFmtId="0" fontId="64" fillId="4" borderId="3" xfId="0" applyFont="1" applyFill="1" applyBorder="1" applyAlignment="1">
      <alignment horizontal="left" vertical="center"/>
    </xf>
    <xf numFmtId="0" fontId="20" fillId="5" borderId="3" xfId="0" applyFont="1" applyFill="1" applyBorder="1" applyAlignment="1">
      <alignment horizontal="left" vertical="center"/>
    </xf>
    <xf numFmtId="0" fontId="16" fillId="5" borderId="3" xfId="0" applyFont="1" applyFill="1" applyBorder="1" applyAlignment="1">
      <alignment horizontal="center" vertical="center"/>
    </xf>
    <xf numFmtId="0" fontId="14" fillId="5" borderId="3" xfId="0" applyFont="1" applyFill="1" applyBorder="1" applyAlignment="1">
      <alignment horizontal="center" vertical="center"/>
    </xf>
    <xf numFmtId="0" fontId="20" fillId="4" borderId="3" xfId="0" applyFont="1" applyFill="1" applyBorder="1" applyAlignment="1">
      <alignment horizontal="left" vertical="center"/>
    </xf>
    <xf numFmtId="0" fontId="15" fillId="4" borderId="3" xfId="0" applyFont="1" applyFill="1" applyBorder="1" applyAlignment="1">
      <alignment horizontal="center" vertical="center"/>
    </xf>
    <xf numFmtId="0" fontId="16" fillId="4" borderId="3" xfId="0" applyFont="1" applyFill="1" applyBorder="1" applyAlignment="1">
      <alignment horizontal="center" vertical="center"/>
    </xf>
    <xf numFmtId="0" fontId="14" fillId="4" borderId="3" xfId="0" applyFont="1" applyFill="1" applyBorder="1" applyAlignment="1">
      <alignment horizontal="center" vertical="center"/>
    </xf>
    <xf numFmtId="0" fontId="65" fillId="5" borderId="3" xfId="0" applyFont="1" applyFill="1" applyBorder="1" applyAlignment="1">
      <alignment horizontal="left" vertical="center"/>
    </xf>
    <xf numFmtId="0" fontId="28" fillId="5" borderId="3" xfId="0" applyFont="1" applyFill="1" applyBorder="1" applyAlignment="1">
      <alignment horizontal="left" vertical="center"/>
    </xf>
    <xf numFmtId="0" fontId="63" fillId="5" borderId="3" xfId="0" applyFont="1" applyFill="1" applyBorder="1" applyAlignment="1">
      <alignment horizontal="left" vertical="center" wrapText="1"/>
    </xf>
    <xf numFmtId="0" fontId="28" fillId="4" borderId="3" xfId="0" applyFont="1" applyFill="1" applyBorder="1" applyAlignment="1">
      <alignment horizontal="left" vertical="center"/>
    </xf>
    <xf numFmtId="0" fontId="63" fillId="4" borderId="3" xfId="0" applyFont="1" applyFill="1" applyBorder="1" applyAlignment="1">
      <alignment horizontal="left" vertical="center" wrapText="1"/>
    </xf>
    <xf numFmtId="0" fontId="23" fillId="5" borderId="3" xfId="0" applyFont="1" applyFill="1" applyBorder="1" applyAlignment="1">
      <alignment horizontal="left" vertical="center" wrapText="1"/>
    </xf>
    <xf numFmtId="0" fontId="48" fillId="5" borderId="3" xfId="0" applyFont="1" applyFill="1" applyBorder="1" applyAlignment="1">
      <alignment horizontal="center" vertical="center" wrapText="1"/>
    </xf>
    <xf numFmtId="0" fontId="23" fillId="4" borderId="3" xfId="0" applyFont="1" applyFill="1" applyBorder="1" applyAlignment="1">
      <alignment horizontal="left" vertical="center" wrapText="1"/>
    </xf>
    <xf numFmtId="0" fontId="48" fillId="4" borderId="3" xfId="0" applyFont="1" applyFill="1" applyBorder="1" applyAlignment="1">
      <alignment horizontal="center" vertical="center" wrapText="1"/>
    </xf>
    <xf numFmtId="0" fontId="67" fillId="5" borderId="3" xfId="0" applyFont="1" applyFill="1" applyBorder="1" applyAlignment="1">
      <alignment horizontal="center" vertical="center"/>
    </xf>
    <xf numFmtId="0" fontId="67" fillId="4" borderId="3" xfId="0" applyFont="1" applyFill="1" applyBorder="1" applyAlignment="1">
      <alignment horizontal="center" vertical="center"/>
    </xf>
    <xf numFmtId="0" fontId="50" fillId="5" borderId="3" xfId="0" applyFont="1" applyFill="1" applyBorder="1" applyAlignment="1">
      <alignment horizontal="left" vertical="center"/>
    </xf>
    <xf numFmtId="0" fontId="18" fillId="2" borderId="1" xfId="0" applyFont="1" applyFill="1" applyBorder="1" applyAlignment="1">
      <alignment horizontal="left" vertical="center" wrapText="1"/>
    </xf>
    <xf numFmtId="0" fontId="19" fillId="2" borderId="1" xfId="0" applyFont="1" applyFill="1" applyBorder="1" applyAlignment="1">
      <alignment horizontal="left" vertical="center"/>
    </xf>
    <xf numFmtId="0" fontId="20" fillId="4" borderId="1" xfId="0" applyFont="1" applyFill="1" applyBorder="1" applyAlignment="1">
      <alignment horizontal="left" vertical="center" wrapText="1"/>
    </xf>
    <xf numFmtId="0" fontId="21" fillId="5" borderId="2" xfId="0" applyFont="1" applyFill="1" applyBorder="1" applyAlignment="1">
      <alignment horizontal="left" vertical="center"/>
    </xf>
    <xf numFmtId="0" fontId="22" fillId="7" borderId="0" xfId="0" applyFont="1" applyFill="1" applyAlignment="1">
      <alignment horizontal="left" vertical="center"/>
    </xf>
    <xf numFmtId="0" fontId="29" fillId="7" borderId="1" xfId="0" applyFont="1" applyFill="1" applyBorder="1" applyAlignment="1">
      <alignment horizontal="left" vertical="center"/>
    </xf>
    <xf numFmtId="0" fontId="21" fillId="5" borderId="8" xfId="0" applyFont="1" applyFill="1" applyBorder="1" applyAlignment="1">
      <alignment horizontal="left" vertical="center"/>
    </xf>
    <xf numFmtId="0" fontId="30" fillId="7" borderId="0" xfId="0" applyFont="1" applyFill="1" applyAlignment="1">
      <alignment horizontal="left" vertical="center"/>
    </xf>
    <xf numFmtId="0" fontId="21" fillId="5" borderId="7" xfId="0" applyFont="1" applyFill="1" applyBorder="1" applyAlignment="1">
      <alignment horizontal="left" vertical="center"/>
    </xf>
    <xf numFmtId="0" fontId="31" fillId="7" borderId="0" xfId="0" applyFont="1" applyFill="1" applyAlignment="1">
      <alignment horizontal="left" vertical="center"/>
    </xf>
    <xf numFmtId="0" fontId="32" fillId="4" borderId="9" xfId="0" applyFont="1" applyFill="1" applyBorder="1" applyAlignment="1">
      <alignment horizontal="left" vertical="center" wrapText="1"/>
    </xf>
    <xf numFmtId="0" fontId="21" fillId="5" borderId="10" xfId="0" applyFont="1" applyFill="1" applyBorder="1" applyAlignment="1">
      <alignment horizontal="left" vertical="center"/>
    </xf>
    <xf numFmtId="0" fontId="33" fillId="7" borderId="0" xfId="0" applyFont="1" applyFill="1" applyAlignment="1">
      <alignment horizontal="left" vertical="center"/>
    </xf>
    <xf numFmtId="0" fontId="21" fillId="5" borderId="11" xfId="0" applyFont="1" applyFill="1" applyBorder="1" applyAlignment="1">
      <alignment horizontal="left" vertical="center"/>
    </xf>
    <xf numFmtId="0" fontId="34" fillId="7" borderId="0" xfId="0" applyFont="1" applyFill="1" applyAlignment="1">
      <alignment horizontal="left" vertical="center"/>
    </xf>
    <xf numFmtId="0" fontId="32" fillId="4" borderId="1" xfId="0" applyFont="1" applyFill="1" applyBorder="1" applyAlignment="1">
      <alignment horizontal="left" vertical="center" wrapText="1"/>
    </xf>
    <xf numFmtId="0" fontId="35" fillId="4" borderId="2" xfId="0" applyFont="1" applyFill="1" applyBorder="1" applyAlignment="1">
      <alignment horizontal="left" vertical="center"/>
    </xf>
    <xf numFmtId="0" fontId="12" fillId="5" borderId="3"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53" fillId="4" borderId="2" xfId="0" applyFont="1" applyFill="1" applyBorder="1" applyAlignment="1">
      <alignment horizontal="left" vertical="center"/>
    </xf>
    <xf numFmtId="0" fontId="6" fillId="14" borderId="2" xfId="0" applyFont="1" applyFill="1" applyBorder="1" applyAlignment="1">
      <alignment horizontal="left" vertical="center"/>
    </xf>
    <xf numFmtId="0" fontId="52" fillId="5" borderId="3" xfId="0" applyFont="1" applyFill="1" applyBorder="1" applyAlignment="1">
      <alignment horizontal="left" vertical="center"/>
    </xf>
    <xf numFmtId="0" fontId="12" fillId="4" borderId="3" xfId="0" applyFont="1" applyFill="1" applyBorder="1" applyAlignment="1">
      <alignment horizontal="left" vertical="top" wrapText="1"/>
    </xf>
    <xf numFmtId="0" fontId="20" fillId="5" borderId="1" xfId="0" applyFont="1" applyFill="1" applyBorder="1" applyAlignment="1">
      <alignment horizontal="center" vertical="center" wrapText="1"/>
    </xf>
    <xf numFmtId="0" fontId="62" fillId="2" borderId="1" xfId="0" applyFont="1" applyFill="1" applyBorder="1" applyAlignment="1">
      <alignment horizontal="left" vertical="center" wrapText="1"/>
    </xf>
    <xf numFmtId="0" fontId="63" fillId="2"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16" fillId="5"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14" fillId="5" borderId="1" xfId="0" applyFont="1" applyFill="1" applyBorder="1" applyAlignment="1">
      <alignment horizontal="left" vertical="center" wrapText="1"/>
    </xf>
    <xf numFmtId="0" fontId="64" fillId="5" borderId="1" xfId="0" applyFont="1" applyFill="1" applyBorder="1" applyAlignment="1">
      <alignment horizontal="left" vertical="center" wrapText="1"/>
    </xf>
    <xf numFmtId="0" fontId="66" fillId="2" borderId="1"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68"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0F0F0"/>
      <rgbColor rgb="FFE8302A"/>
      <rgbColor rgb="FF00FF00"/>
      <rgbColor rgb="FF0000FF"/>
      <rgbColor rgb="FFFFFF00"/>
      <rgbColor rgb="FFFF00FF"/>
      <rgbColor rgb="FF00FFFF"/>
      <rgbColor rgb="FF7F1D1D"/>
      <rgbColor rgb="FF166534"/>
      <rgbColor rgb="FF111111"/>
      <rgbColor rgb="FF808000"/>
      <rgbColor rgb="FF800080"/>
      <rgbColor rgb="FF008080"/>
      <rgbColor rgb="FFC0C0C0"/>
      <rgbColor rgb="FF888888"/>
      <rgbColor rgb="FFA855F7"/>
      <rgbColor rgb="FF854D0E"/>
      <rgbColor rgb="FFFFFFCC"/>
      <rgbColor rgb="FFCCFFFF"/>
      <rgbColor rgb="FF2A1A00"/>
      <rgbColor rgb="FFF87171"/>
      <rgbColor rgb="FF0066CC"/>
      <rgbColor rgb="FFCCCCFF"/>
      <rgbColor rgb="FF080808"/>
      <rgbColor rgb="FFFF00FF"/>
      <rgbColor rgb="FFFFFF00"/>
      <rgbColor rgb="FF00FFFF"/>
      <rgbColor rgb="FF800080"/>
      <rgbColor rgb="FF800000"/>
      <rgbColor rgb="FF008080"/>
      <rgbColor rgb="FF0000FF"/>
      <rgbColor rgb="FF00CCFF"/>
      <rgbColor rgb="FFCCFFFF"/>
      <rgbColor rgb="FFCCFFCC"/>
      <rgbColor rgb="FFFFFF99"/>
      <rgbColor rgb="FF99CCFF"/>
      <rgbColor rgb="FFFCA5A5"/>
      <rgbColor rgb="FFCC99FF"/>
      <rgbColor rgb="FFFCD34D"/>
      <rgbColor rgb="FF3B82F6"/>
      <rgbColor rgb="FF4ADE80"/>
      <rgbColor rgb="FF99CC00"/>
      <rgbColor rgb="FFEAB308"/>
      <rgbColor rgb="FFFF9900"/>
      <rgbColor rgb="FFF97316"/>
      <rgbColor rgb="FF555555"/>
      <rgbColor rgb="FF969696"/>
      <rgbColor rgb="FF222222"/>
      <rgbColor rgb="FF22C55E"/>
      <rgbColor rgb="FF1E3A2F"/>
      <rgbColor rgb="FF2A2A2A"/>
      <rgbColor rgb="FF991B1B"/>
      <rgbColor rgb="FF993366"/>
      <rgbColor rgb="FF1A1A1A"/>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8302A"/>
  </sheetPr>
  <dimension ref="A1:T120"/>
  <sheetViews>
    <sheetView showGridLines="0" topLeftCell="A10" zoomScaleNormal="100" workbookViewId="0"/>
  </sheetViews>
  <sheetFormatPr baseColWidth="10" defaultColWidth="8.6328125" defaultRowHeight="14.5" x14ac:dyDescent="0.35"/>
  <cols>
    <col min="1" max="1" width="2" customWidth="1"/>
    <col min="2" max="2" width="18" customWidth="1"/>
    <col min="3" max="3" width="20" customWidth="1"/>
    <col min="4" max="4" width="16" customWidth="1"/>
    <col min="5" max="5" width="4" customWidth="1"/>
    <col min="6" max="6" width="18" customWidth="1"/>
    <col min="7" max="7" width="20" customWidth="1"/>
    <col min="8" max="8" width="16" customWidth="1"/>
    <col min="9" max="9" width="4" customWidth="1"/>
    <col min="10" max="10" width="18" customWidth="1"/>
    <col min="11" max="11" width="20" customWidth="1"/>
    <col min="12" max="12" width="16" customWidth="1"/>
    <col min="13" max="13"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51.75" customHeight="1" x14ac:dyDescent="0.35">
      <c r="A2" s="15"/>
      <c r="B2" s="14" t="s">
        <v>0</v>
      </c>
      <c r="C2" s="14"/>
      <c r="D2" s="14"/>
      <c r="E2" s="14"/>
      <c r="F2" s="14"/>
      <c r="G2" s="14"/>
      <c r="H2" s="14"/>
      <c r="I2" s="14"/>
      <c r="J2" s="14"/>
      <c r="K2" s="14"/>
      <c r="L2" s="14"/>
      <c r="M2" s="15"/>
      <c r="N2" s="15"/>
      <c r="O2" s="15"/>
      <c r="P2" s="15"/>
      <c r="Q2" s="15"/>
      <c r="R2" s="15"/>
      <c r="S2" s="15"/>
      <c r="T2" s="15"/>
    </row>
    <row r="3" spans="1:20" ht="24" customHeight="1" x14ac:dyDescent="0.35">
      <c r="A3" s="15"/>
      <c r="B3" s="13" t="s">
        <v>1</v>
      </c>
      <c r="C3" s="13"/>
      <c r="D3" s="13"/>
      <c r="E3" s="13"/>
      <c r="F3" s="13"/>
      <c r="G3" s="13"/>
      <c r="H3" s="13"/>
      <c r="I3" s="13"/>
      <c r="J3" s="13"/>
      <c r="K3" s="13"/>
      <c r="L3" s="13"/>
      <c r="M3" s="15"/>
      <c r="N3" s="15"/>
      <c r="O3" s="15"/>
      <c r="P3" s="15"/>
      <c r="Q3" s="15"/>
      <c r="R3" s="15"/>
      <c r="S3" s="15"/>
      <c r="T3" s="15"/>
    </row>
    <row r="4" spans="1:20" ht="18" customHeight="1" x14ac:dyDescent="0.35">
      <c r="A4" s="15"/>
      <c r="B4" s="12" t="s">
        <v>2</v>
      </c>
      <c r="C4" s="12"/>
      <c r="D4" s="12"/>
      <c r="E4" s="12"/>
      <c r="F4" s="12"/>
      <c r="G4" s="12"/>
      <c r="H4" s="12"/>
      <c r="I4" s="12"/>
      <c r="J4" s="12"/>
      <c r="K4" s="12"/>
      <c r="L4" s="12"/>
      <c r="M4" s="15"/>
      <c r="N4" s="15"/>
      <c r="O4" s="15"/>
      <c r="P4" s="15"/>
      <c r="Q4" s="15"/>
      <c r="R4" s="15"/>
      <c r="S4" s="15"/>
      <c r="T4" s="15"/>
    </row>
    <row r="5" spans="1:20" ht="19.5" customHeight="1" x14ac:dyDescent="0.35">
      <c r="A5" s="15"/>
      <c r="B5" s="15"/>
      <c r="C5" s="15"/>
      <c r="D5" s="15"/>
      <c r="E5" s="15"/>
      <c r="F5" s="15"/>
      <c r="G5" s="15"/>
      <c r="H5" s="15"/>
      <c r="I5" s="15"/>
      <c r="J5" s="15"/>
      <c r="K5" s="15"/>
      <c r="L5" s="15"/>
      <c r="M5" s="15"/>
      <c r="N5" s="15"/>
      <c r="O5" s="15"/>
      <c r="P5" s="15"/>
      <c r="Q5" s="15"/>
      <c r="R5" s="15"/>
      <c r="S5" s="15"/>
      <c r="T5" s="15"/>
    </row>
    <row r="6" spans="1:20" ht="27.75" customHeight="1" x14ac:dyDescent="0.35">
      <c r="A6" s="15"/>
      <c r="B6" s="11" t="s">
        <v>3</v>
      </c>
      <c r="C6" s="11"/>
      <c r="D6" s="11"/>
      <c r="E6" s="11"/>
      <c r="F6" s="11"/>
      <c r="G6" s="11"/>
      <c r="H6" s="11"/>
      <c r="I6" s="11"/>
      <c r="J6" s="11"/>
      <c r="K6" s="11"/>
      <c r="L6" s="11"/>
      <c r="M6" s="15"/>
      <c r="N6" s="15"/>
      <c r="O6" s="15"/>
      <c r="P6" s="15"/>
      <c r="Q6" s="15"/>
      <c r="R6" s="15"/>
      <c r="S6" s="15"/>
      <c r="T6" s="15"/>
    </row>
    <row r="7" spans="1:20" ht="21.75" customHeight="1" x14ac:dyDescent="0.35">
      <c r="A7" s="15"/>
      <c r="B7" s="16" t="s">
        <v>4</v>
      </c>
      <c r="C7" s="15"/>
      <c r="D7" s="16" t="s">
        <v>5</v>
      </c>
      <c r="E7" s="15"/>
      <c r="F7" s="16" t="s">
        <v>6</v>
      </c>
      <c r="G7" s="15"/>
      <c r="H7" s="16" t="s">
        <v>7</v>
      </c>
      <c r="I7" s="15"/>
      <c r="J7" s="16" t="s">
        <v>8</v>
      </c>
      <c r="K7" s="15"/>
      <c r="L7" s="16" t="s">
        <v>9</v>
      </c>
      <c r="M7" s="15"/>
      <c r="N7" s="15"/>
      <c r="O7" s="15"/>
      <c r="P7" s="15"/>
      <c r="Q7" s="15"/>
      <c r="R7" s="15"/>
      <c r="S7" s="15"/>
      <c r="T7" s="15"/>
    </row>
    <row r="8" spans="1:20" ht="30" customHeight="1" x14ac:dyDescent="0.35">
      <c r="A8" s="15"/>
      <c r="B8" s="17" t="s">
        <v>10</v>
      </c>
      <c r="C8" s="15"/>
      <c r="D8" s="18">
        <v>25</v>
      </c>
      <c r="E8" s="15"/>
      <c r="F8" s="18">
        <v>75</v>
      </c>
      <c r="G8" s="15"/>
      <c r="H8" s="18">
        <v>170</v>
      </c>
      <c r="I8" s="15"/>
      <c r="J8" s="19" t="s">
        <v>11</v>
      </c>
      <c r="K8" s="15"/>
      <c r="L8" s="18">
        <v>18</v>
      </c>
      <c r="M8" s="15"/>
      <c r="N8" s="15"/>
      <c r="O8" s="15"/>
      <c r="P8" s="15"/>
      <c r="Q8" s="15"/>
      <c r="R8" s="15"/>
      <c r="S8" s="15"/>
      <c r="T8" s="15"/>
    </row>
    <row r="9" spans="1:20" ht="21.75" customHeight="1" x14ac:dyDescent="0.35">
      <c r="A9" s="15"/>
      <c r="B9" s="10" t="s">
        <v>12</v>
      </c>
      <c r="C9" s="10"/>
      <c r="D9" s="20" t="s">
        <v>13</v>
      </c>
      <c r="E9" s="21">
        <f>IF(D8&gt;0,C8/(D8/100)^2,"")</f>
        <v>0</v>
      </c>
      <c r="F9" s="15"/>
      <c r="G9" s="20" t="s">
        <v>14</v>
      </c>
      <c r="H9" s="21">
        <f>IF(F8&gt;0,C8*(1-F8/100),"")</f>
        <v>0</v>
      </c>
      <c r="I9" s="15"/>
      <c r="J9" s="20" t="s">
        <v>15</v>
      </c>
      <c r="K9" s="21" t="str">
        <f>IF(E9&lt;18.5,"Bajo peso",IF(E9&lt;25,"Normal",IF(E9&lt;30,"Sobrepeso","Obesidad")))</f>
        <v>Bajo peso</v>
      </c>
      <c r="L9" s="15"/>
      <c r="M9" s="15"/>
      <c r="N9" s="15"/>
      <c r="O9" s="15"/>
      <c r="P9" s="15"/>
      <c r="Q9" s="15"/>
      <c r="R9" s="15"/>
      <c r="S9" s="15"/>
      <c r="T9" s="15"/>
    </row>
    <row r="10" spans="1:20" ht="19.5" customHeight="1" x14ac:dyDescent="0.35">
      <c r="A10" s="15"/>
      <c r="B10" s="15"/>
      <c r="C10" s="15"/>
      <c r="D10" s="15"/>
      <c r="E10" s="15"/>
      <c r="F10" s="15"/>
      <c r="G10" s="15"/>
      <c r="H10" s="15"/>
      <c r="I10" s="15"/>
      <c r="J10" s="15"/>
      <c r="K10" s="15"/>
      <c r="L10" s="15"/>
      <c r="M10" s="15"/>
      <c r="N10" s="15"/>
      <c r="O10" s="15"/>
      <c r="P10" s="15"/>
      <c r="Q10" s="15"/>
      <c r="R10" s="15"/>
      <c r="S10" s="15"/>
      <c r="T10" s="15"/>
    </row>
    <row r="11" spans="1:20" ht="27.75" customHeight="1" x14ac:dyDescent="0.35">
      <c r="A11" s="15"/>
      <c r="B11" s="11" t="s">
        <v>16</v>
      </c>
      <c r="C11" s="11"/>
      <c r="D11" s="11"/>
      <c r="E11" s="11"/>
      <c r="F11" s="11"/>
      <c r="G11" s="11"/>
      <c r="H11" s="11"/>
      <c r="I11" s="11"/>
      <c r="J11" s="11"/>
      <c r="K11" s="11"/>
      <c r="L11" s="11"/>
      <c r="M11" s="15"/>
      <c r="N11" s="15"/>
      <c r="O11" s="15"/>
      <c r="P11" s="15"/>
      <c r="Q11" s="15"/>
      <c r="R11" s="15"/>
      <c r="S11" s="15"/>
      <c r="T11" s="15"/>
    </row>
    <row r="12" spans="1:20" ht="21.75" customHeight="1" x14ac:dyDescent="0.35">
      <c r="A12" s="15"/>
      <c r="B12" s="16" t="s">
        <v>17</v>
      </c>
      <c r="C12" s="15"/>
      <c r="D12" s="16" t="s">
        <v>18</v>
      </c>
      <c r="E12" s="15"/>
      <c r="F12" s="16" t="s">
        <v>19</v>
      </c>
      <c r="G12" s="15"/>
      <c r="H12" s="16" t="s">
        <v>20</v>
      </c>
      <c r="I12" s="15"/>
      <c r="J12" s="16" t="s">
        <v>21</v>
      </c>
      <c r="K12" s="15"/>
      <c r="L12" s="15"/>
      <c r="M12" s="15"/>
      <c r="N12" s="15"/>
      <c r="O12" s="15"/>
      <c r="P12" s="15"/>
      <c r="Q12" s="15"/>
      <c r="R12" s="15"/>
      <c r="S12" s="15"/>
      <c r="T12" s="15"/>
    </row>
    <row r="13" spans="1:20" ht="30" customHeight="1" x14ac:dyDescent="0.35">
      <c r="A13" s="15"/>
      <c r="B13" s="18" t="s">
        <v>22</v>
      </c>
      <c r="C13" s="15"/>
      <c r="D13" s="18">
        <v>60</v>
      </c>
      <c r="E13" s="15"/>
      <c r="F13" s="18">
        <v>80</v>
      </c>
      <c r="G13" s="15"/>
      <c r="H13" s="18">
        <v>100</v>
      </c>
      <c r="I13" s="15"/>
      <c r="J13" s="18">
        <v>5</v>
      </c>
      <c r="K13" s="15"/>
      <c r="L13" s="15"/>
      <c r="M13" s="15"/>
      <c r="N13" s="15"/>
      <c r="O13" s="15"/>
      <c r="P13" s="15"/>
      <c r="Q13" s="15"/>
      <c r="R13" s="15"/>
      <c r="S13" s="15"/>
      <c r="T13" s="15"/>
    </row>
    <row r="14" spans="1:20" ht="19.5" customHeight="1" x14ac:dyDescent="0.35">
      <c r="A14" s="15"/>
      <c r="B14" s="9" t="s">
        <v>23</v>
      </c>
      <c r="C14" s="9"/>
      <c r="D14" s="20" t="s">
        <v>24</v>
      </c>
      <c r="E14" s="22">
        <f>IF(D13&gt;0,ROUND(D13*(1+8/30),0),"")</f>
        <v>76</v>
      </c>
      <c r="F14" s="15"/>
      <c r="G14" s="20" t="s">
        <v>25</v>
      </c>
      <c r="H14" s="22">
        <f>IF(F13&gt;0,ROUND(F13*(1+8/30),0),"")</f>
        <v>101</v>
      </c>
      <c r="I14" s="15"/>
      <c r="J14" s="20" t="s">
        <v>26</v>
      </c>
      <c r="K14" s="22">
        <f>IF(H13&gt;0,ROUND(H13*(1+8/30),0),"")</f>
        <v>127</v>
      </c>
      <c r="L14" s="15"/>
      <c r="M14" s="15"/>
      <c r="N14" s="15"/>
      <c r="O14" s="15"/>
      <c r="P14" s="15"/>
      <c r="Q14" s="15"/>
      <c r="R14" s="15"/>
      <c r="S14" s="15"/>
      <c r="T14" s="15"/>
    </row>
    <row r="15" spans="1:20" ht="24" customHeight="1" x14ac:dyDescent="0.35">
      <c r="A15" s="15"/>
      <c r="B15" s="8" t="s">
        <v>27</v>
      </c>
      <c r="C15" s="8"/>
      <c r="D15" s="7" t="str">
        <f>IF(C13="Menos de 6 meses","⬤ PRINCIPIANTE",IF(C13="6–24 meses","⬤ PRINCIPIANTE-INTERMEDIO",IF(C13="2–4 años","⬤ INTERMEDIO","⬤ AVANZADO")))</f>
        <v>⬤ AVANZADO</v>
      </c>
      <c r="E15" s="7"/>
      <c r="F15" s="7"/>
      <c r="G15" s="7"/>
      <c r="H15" s="7"/>
      <c r="I15" s="6" t="str">
        <f>IF(C13="Menos de 6 meses","Periodización lineal — añadir peso cada sesión",IF(C13="6–24 meses","Lineal → doble progresión",IF(C13="2–4 años","DUP — Ondulante diaria (Colquhoun 2017)","Bloques (Bompa &amp; Haff)")))</f>
        <v>Bloques (Bompa &amp; Haff)</v>
      </c>
      <c r="J15" s="6"/>
      <c r="K15" s="6"/>
      <c r="L15" s="6"/>
      <c r="M15" s="15"/>
      <c r="N15" s="15"/>
      <c r="O15" s="15"/>
      <c r="P15" s="15"/>
      <c r="Q15" s="15"/>
      <c r="R15" s="15"/>
      <c r="S15" s="15"/>
      <c r="T15" s="15"/>
    </row>
    <row r="16" spans="1:20" ht="19.5" customHeight="1" x14ac:dyDescent="0.35">
      <c r="A16" s="15"/>
      <c r="B16" s="15"/>
      <c r="C16" s="15"/>
      <c r="D16" s="15"/>
      <c r="E16" s="15"/>
      <c r="F16" s="15"/>
      <c r="G16" s="15"/>
      <c r="H16" s="15"/>
      <c r="I16" s="15"/>
      <c r="J16" s="15"/>
      <c r="K16" s="15"/>
      <c r="L16" s="15"/>
      <c r="M16" s="15"/>
      <c r="N16" s="15"/>
      <c r="O16" s="15"/>
      <c r="P16" s="15"/>
      <c r="Q16" s="15"/>
      <c r="R16" s="15"/>
      <c r="S16" s="15"/>
      <c r="T16" s="15"/>
    </row>
    <row r="17" spans="1:20" ht="27.75" customHeight="1" x14ac:dyDescent="0.35">
      <c r="A17" s="15"/>
      <c r="B17" s="11" t="s">
        <v>28</v>
      </c>
      <c r="C17" s="11"/>
      <c r="D17" s="11"/>
      <c r="E17" s="11"/>
      <c r="F17" s="11"/>
      <c r="G17" s="11"/>
      <c r="H17" s="11"/>
      <c r="I17" s="11"/>
      <c r="J17" s="11"/>
      <c r="K17" s="11"/>
      <c r="L17" s="11"/>
      <c r="M17" s="15"/>
      <c r="N17" s="15"/>
      <c r="O17" s="15"/>
      <c r="P17" s="15"/>
      <c r="Q17" s="15"/>
      <c r="R17" s="15"/>
      <c r="S17" s="15"/>
      <c r="T17" s="15"/>
    </row>
    <row r="18" spans="1:20" ht="21.75" customHeight="1" x14ac:dyDescent="0.35">
      <c r="A18" s="15"/>
      <c r="B18" s="16" t="s">
        <v>29</v>
      </c>
      <c r="C18" s="15"/>
      <c r="D18" s="15"/>
      <c r="E18" s="15"/>
      <c r="F18" s="16" t="s">
        <v>30</v>
      </c>
      <c r="G18" s="15"/>
      <c r="H18" s="15"/>
      <c r="I18" s="15"/>
      <c r="J18" s="16" t="s">
        <v>31</v>
      </c>
      <c r="K18" s="15"/>
      <c r="L18" s="15"/>
      <c r="M18" s="15"/>
      <c r="N18" s="15"/>
      <c r="O18" s="15"/>
      <c r="P18" s="15"/>
      <c r="Q18" s="15"/>
      <c r="R18" s="15"/>
      <c r="S18" s="15"/>
      <c r="T18" s="15"/>
    </row>
    <row r="19" spans="1:20" ht="30" customHeight="1" x14ac:dyDescent="0.35">
      <c r="A19" s="15"/>
      <c r="B19" s="5" t="s">
        <v>32</v>
      </c>
      <c r="C19" s="5"/>
      <c r="D19" s="5"/>
      <c r="E19" s="5"/>
      <c r="F19" s="4" t="s">
        <v>33</v>
      </c>
      <c r="G19" s="4"/>
      <c r="H19" s="4"/>
      <c r="I19" s="4"/>
      <c r="J19" s="3" t="s">
        <v>34</v>
      </c>
      <c r="K19" s="3"/>
      <c r="L19" s="3"/>
      <c r="M19" s="3"/>
      <c r="N19" s="15"/>
      <c r="O19" s="15"/>
      <c r="P19" s="15"/>
      <c r="Q19" s="15"/>
      <c r="R19" s="15"/>
      <c r="S19" s="15"/>
      <c r="T19" s="15"/>
    </row>
    <row r="20" spans="1:20" ht="19.5" customHeight="1" x14ac:dyDescent="0.35">
      <c r="A20" s="15"/>
      <c r="B20" s="15"/>
      <c r="C20" s="15"/>
      <c r="D20" s="15"/>
      <c r="E20" s="15"/>
      <c r="F20" s="15"/>
      <c r="G20" s="15"/>
      <c r="H20" s="15"/>
      <c r="I20" s="15"/>
      <c r="J20" s="15"/>
      <c r="K20" s="15"/>
      <c r="L20" s="15"/>
      <c r="M20" s="15"/>
      <c r="N20" s="15"/>
      <c r="O20" s="15"/>
      <c r="P20" s="15"/>
      <c r="Q20" s="15"/>
      <c r="R20" s="15"/>
      <c r="S20" s="15"/>
      <c r="T20" s="15"/>
    </row>
    <row r="21" spans="1:20" ht="27.75" customHeight="1" x14ac:dyDescent="0.35">
      <c r="A21" s="15"/>
      <c r="B21" s="11" t="s">
        <v>35</v>
      </c>
      <c r="C21" s="11"/>
      <c r="D21" s="11"/>
      <c r="E21" s="11"/>
      <c r="F21" s="11"/>
      <c r="G21" s="11"/>
      <c r="H21" s="11"/>
      <c r="I21" s="11"/>
      <c r="J21" s="11"/>
      <c r="K21" s="11"/>
      <c r="L21" s="11"/>
      <c r="M21" s="15"/>
      <c r="N21" s="15"/>
      <c r="O21" s="15"/>
      <c r="P21" s="15"/>
      <c r="Q21" s="15"/>
      <c r="R21" s="15"/>
      <c r="S21" s="15"/>
      <c r="T21" s="15"/>
    </row>
    <row r="22" spans="1:20" ht="21.75" customHeight="1" x14ac:dyDescent="0.35">
      <c r="A22" s="15"/>
      <c r="B22" s="16" t="s">
        <v>36</v>
      </c>
      <c r="C22" s="15"/>
      <c r="D22" s="16" t="s">
        <v>37</v>
      </c>
      <c r="E22" s="15"/>
      <c r="F22" s="16" t="s">
        <v>38</v>
      </c>
      <c r="G22" s="15"/>
      <c r="H22" s="16" t="s">
        <v>39</v>
      </c>
      <c r="I22" s="15"/>
      <c r="J22" s="16" t="s">
        <v>40</v>
      </c>
      <c r="K22" s="15"/>
      <c r="L22" s="16" t="s">
        <v>41</v>
      </c>
      <c r="M22" s="15"/>
      <c r="N22" s="15"/>
      <c r="O22" s="15"/>
      <c r="P22" s="15"/>
      <c r="Q22" s="15"/>
      <c r="R22" s="15"/>
      <c r="S22" s="15"/>
      <c r="T22" s="15"/>
    </row>
    <row r="23" spans="1:20" ht="30" customHeight="1" x14ac:dyDescent="0.35">
      <c r="A23" s="15"/>
      <c r="B23" s="24" t="s">
        <v>42</v>
      </c>
      <c r="C23" s="15"/>
      <c r="D23" s="24" t="s">
        <v>43</v>
      </c>
      <c r="E23" s="15"/>
      <c r="F23" s="24" t="s">
        <v>44</v>
      </c>
      <c r="G23" s="15"/>
      <c r="H23" s="24" t="s">
        <v>45</v>
      </c>
      <c r="I23" s="15"/>
      <c r="J23" s="24" t="s">
        <v>46</v>
      </c>
      <c r="K23" s="15"/>
      <c r="L23" s="24" t="s">
        <v>47</v>
      </c>
      <c r="M23" s="15"/>
      <c r="N23" s="15"/>
      <c r="O23" s="15"/>
      <c r="P23" s="15"/>
      <c r="Q23" s="15"/>
      <c r="R23" s="15"/>
      <c r="S23" s="15"/>
      <c r="T23" s="15"/>
    </row>
    <row r="24" spans="1:20" ht="21.75" customHeight="1" x14ac:dyDescent="0.35">
      <c r="A24" s="15"/>
      <c r="B24" s="8" t="s">
        <v>48</v>
      </c>
      <c r="C24" s="8"/>
      <c r="D24" s="2">
        <f>MAX(0.6,MIN(1.15,1+IF(C23&lt;=6,-0.15,0)+IF(E23="Alto",-0.15,0)+IF(G23="Físico intenso",-0.1,0)+IF(I23="Mala",-0.1,IF(I23="Óptima",0.05,0))+IF(M23="Baja &lt;1g/kg",-0.1,IF(M23="Óptima 2g/kg+",0.05,0))))</f>
        <v>0.85</v>
      </c>
      <c r="E24" s="2"/>
      <c r="F24" s="2"/>
      <c r="G24" s="1" t="s">
        <v>49</v>
      </c>
      <c r="H24" s="1"/>
      <c r="I24" s="1"/>
      <c r="J24" s="1"/>
      <c r="K24" s="1"/>
      <c r="L24" s="1"/>
      <c r="M24" s="15"/>
      <c r="N24" s="15"/>
      <c r="O24" s="15"/>
      <c r="P24" s="15"/>
      <c r="Q24" s="15"/>
      <c r="R24" s="15"/>
      <c r="S24" s="15"/>
      <c r="T24" s="15"/>
    </row>
    <row r="25" spans="1:20" ht="19.5" customHeight="1" x14ac:dyDescent="0.35">
      <c r="A25" s="15"/>
      <c r="B25" s="15"/>
      <c r="C25" s="15"/>
      <c r="D25" s="15"/>
      <c r="E25" s="15"/>
      <c r="F25" s="15"/>
      <c r="G25" s="15"/>
      <c r="H25" s="15"/>
      <c r="I25" s="15"/>
      <c r="J25" s="15"/>
      <c r="K25" s="15"/>
      <c r="L25" s="15"/>
      <c r="M25" s="15"/>
      <c r="N25" s="15"/>
      <c r="O25" s="15"/>
      <c r="P25" s="15"/>
      <c r="Q25" s="15"/>
      <c r="R25" s="15"/>
      <c r="S25" s="15"/>
      <c r="T25" s="15"/>
    </row>
    <row r="26" spans="1:20" ht="27.75" customHeight="1" x14ac:dyDescent="0.35">
      <c r="A26" s="15"/>
      <c r="B26" s="11" t="s">
        <v>50</v>
      </c>
      <c r="C26" s="11"/>
      <c r="D26" s="11"/>
      <c r="E26" s="11"/>
      <c r="F26" s="11"/>
      <c r="G26" s="11"/>
      <c r="H26" s="11"/>
      <c r="I26" s="11"/>
      <c r="J26" s="11"/>
      <c r="K26" s="11"/>
      <c r="L26" s="11"/>
      <c r="M26" s="15"/>
      <c r="N26" s="15"/>
      <c r="O26" s="15"/>
      <c r="P26" s="15"/>
      <c r="Q26" s="15"/>
      <c r="R26" s="15"/>
      <c r="S26" s="15"/>
      <c r="T26" s="15"/>
    </row>
    <row r="27" spans="1:20" ht="21.75" customHeight="1" x14ac:dyDescent="0.35">
      <c r="A27" s="15"/>
      <c r="B27" s="16" t="s">
        <v>51</v>
      </c>
      <c r="C27" s="15"/>
      <c r="D27" s="15"/>
      <c r="E27" s="15"/>
      <c r="F27" s="16" t="s">
        <v>52</v>
      </c>
      <c r="G27" s="15"/>
      <c r="H27" s="15"/>
      <c r="I27" s="15"/>
      <c r="J27" s="16" t="s">
        <v>53</v>
      </c>
      <c r="K27" s="15"/>
      <c r="L27" s="15"/>
      <c r="M27" s="15"/>
      <c r="N27" s="15"/>
      <c r="O27" s="15"/>
      <c r="P27" s="15"/>
      <c r="Q27" s="15"/>
      <c r="R27" s="15"/>
      <c r="S27" s="15"/>
      <c r="T27" s="15"/>
    </row>
    <row r="28" spans="1:20" ht="30" customHeight="1" x14ac:dyDescent="0.35">
      <c r="A28" s="15"/>
      <c r="B28" s="5" t="s">
        <v>54</v>
      </c>
      <c r="C28" s="5"/>
      <c r="D28" s="5"/>
      <c r="E28" s="5"/>
      <c r="F28" s="5" t="s">
        <v>55</v>
      </c>
      <c r="G28" s="5"/>
      <c r="H28" s="5"/>
      <c r="I28" s="5"/>
      <c r="J28" s="5" t="s">
        <v>56</v>
      </c>
      <c r="K28" s="5"/>
      <c r="L28" s="5"/>
      <c r="M28" s="5"/>
      <c r="N28" s="15"/>
      <c r="O28" s="15"/>
      <c r="P28" s="15"/>
      <c r="Q28" s="15"/>
      <c r="R28" s="15"/>
      <c r="S28" s="15"/>
      <c r="T28" s="15"/>
    </row>
    <row r="29" spans="1:20" ht="19.5" customHeight="1" x14ac:dyDescent="0.35">
      <c r="A29" s="15"/>
      <c r="B29" s="15"/>
      <c r="C29" s="15"/>
      <c r="D29" s="15"/>
      <c r="E29" s="15"/>
      <c r="F29" s="15"/>
      <c r="G29" s="15"/>
      <c r="H29" s="15"/>
      <c r="I29" s="15"/>
      <c r="J29" s="15"/>
      <c r="K29" s="15"/>
      <c r="L29" s="15"/>
      <c r="M29" s="15"/>
      <c r="N29" s="15"/>
      <c r="O29" s="15"/>
      <c r="P29" s="15"/>
      <c r="Q29" s="15"/>
      <c r="R29" s="15"/>
      <c r="S29" s="15"/>
      <c r="T29" s="15"/>
    </row>
    <row r="30" spans="1:20" ht="19.5" customHeight="1" x14ac:dyDescent="0.35">
      <c r="A30" s="15"/>
      <c r="B30" s="15"/>
      <c r="C30" s="15"/>
      <c r="D30" s="15"/>
      <c r="E30" s="15"/>
      <c r="F30" s="15"/>
      <c r="G30" s="15"/>
      <c r="H30" s="15"/>
      <c r="I30" s="15"/>
      <c r="J30" s="15"/>
      <c r="K30" s="15"/>
      <c r="L30" s="15"/>
      <c r="M30" s="15"/>
      <c r="N30" s="15"/>
      <c r="O30" s="15"/>
      <c r="P30" s="15"/>
      <c r="Q30" s="15"/>
      <c r="R30" s="15"/>
      <c r="S30" s="15"/>
      <c r="T30" s="15"/>
    </row>
    <row r="31" spans="1:20" ht="19.5" customHeight="1" x14ac:dyDescent="0.35">
      <c r="A31" s="15"/>
      <c r="B31" s="15"/>
      <c r="C31" s="15"/>
      <c r="D31" s="15"/>
      <c r="E31" s="15"/>
      <c r="F31" s="15"/>
      <c r="G31" s="15"/>
      <c r="H31" s="15"/>
      <c r="I31" s="15"/>
      <c r="J31" s="15"/>
      <c r="K31" s="15"/>
      <c r="L31" s="15"/>
      <c r="M31" s="15"/>
      <c r="N31" s="15"/>
      <c r="O31" s="15"/>
      <c r="P31" s="15"/>
      <c r="Q31" s="15"/>
      <c r="R31" s="15"/>
      <c r="S31" s="15"/>
      <c r="T31" s="15"/>
    </row>
    <row r="32" spans="1:20" ht="19.5" customHeight="1" x14ac:dyDescent="0.35">
      <c r="A32" s="15"/>
      <c r="B32" s="15"/>
      <c r="C32" s="15"/>
      <c r="D32" s="15"/>
      <c r="E32" s="15"/>
      <c r="F32" s="15"/>
      <c r="G32" s="15"/>
      <c r="H32" s="15"/>
      <c r="I32" s="15"/>
      <c r="J32" s="15"/>
      <c r="K32" s="15"/>
      <c r="L32" s="15"/>
      <c r="M32" s="15"/>
      <c r="N32" s="15"/>
      <c r="O32" s="15"/>
      <c r="P32" s="15"/>
      <c r="Q32" s="15"/>
      <c r="R32" s="15"/>
      <c r="S32" s="15"/>
      <c r="T32" s="15"/>
    </row>
    <row r="33" spans="1:20" ht="19.5" customHeight="1" x14ac:dyDescent="0.35">
      <c r="A33" s="15"/>
      <c r="B33" s="15"/>
      <c r="C33" s="15"/>
      <c r="D33" s="15"/>
      <c r="E33" s="15"/>
      <c r="F33" s="15"/>
      <c r="G33" s="15"/>
      <c r="H33" s="15"/>
      <c r="I33" s="15"/>
      <c r="J33" s="15"/>
      <c r="K33" s="15"/>
      <c r="L33" s="15"/>
      <c r="M33" s="15"/>
      <c r="N33" s="15"/>
      <c r="O33" s="15"/>
      <c r="P33" s="15"/>
      <c r="Q33" s="15"/>
      <c r="R33" s="15"/>
      <c r="S33" s="15"/>
      <c r="T33" s="15"/>
    </row>
    <row r="34" spans="1:20" ht="19.5" customHeight="1" x14ac:dyDescent="0.35">
      <c r="A34" s="15"/>
      <c r="B34" s="15"/>
      <c r="C34" s="15"/>
      <c r="D34" s="15"/>
      <c r="E34" s="15"/>
      <c r="F34" s="15"/>
      <c r="G34" s="15"/>
      <c r="H34" s="15"/>
      <c r="I34" s="15"/>
      <c r="J34" s="15"/>
      <c r="K34" s="15"/>
      <c r="L34" s="15"/>
      <c r="M34" s="15"/>
      <c r="N34" s="15"/>
      <c r="O34" s="15"/>
      <c r="P34" s="15"/>
      <c r="Q34" s="15"/>
      <c r="R34" s="15"/>
      <c r="S34" s="15"/>
      <c r="T34" s="15"/>
    </row>
    <row r="35" spans="1:20" ht="19.5" customHeight="1" x14ac:dyDescent="0.35">
      <c r="A35" s="15"/>
      <c r="B35" s="15"/>
      <c r="C35" s="15"/>
      <c r="D35" s="15"/>
      <c r="E35" s="15"/>
      <c r="F35" s="15"/>
      <c r="G35" s="15"/>
      <c r="H35" s="15"/>
      <c r="I35" s="15"/>
      <c r="J35" s="15"/>
      <c r="K35" s="15"/>
      <c r="L35" s="15"/>
      <c r="M35" s="15"/>
      <c r="N35" s="15"/>
      <c r="O35" s="15"/>
      <c r="P35" s="15"/>
      <c r="Q35" s="15"/>
      <c r="R35" s="15"/>
      <c r="S35" s="15"/>
      <c r="T35" s="15"/>
    </row>
    <row r="36" spans="1:20" ht="19.5" customHeight="1" x14ac:dyDescent="0.35">
      <c r="A36" s="15"/>
      <c r="B36" s="15"/>
      <c r="C36" s="15"/>
      <c r="D36" s="15"/>
      <c r="E36" s="15"/>
      <c r="F36" s="15"/>
      <c r="G36" s="15"/>
      <c r="H36" s="15"/>
      <c r="I36" s="15"/>
      <c r="J36" s="15"/>
      <c r="K36" s="15"/>
      <c r="L36" s="15"/>
      <c r="M36" s="15"/>
      <c r="N36" s="15"/>
      <c r="O36" s="15"/>
      <c r="P36" s="15"/>
      <c r="Q36" s="15"/>
      <c r="R36" s="15"/>
      <c r="S36" s="15"/>
      <c r="T36" s="15"/>
    </row>
    <row r="37" spans="1:20" ht="19.5" customHeight="1" x14ac:dyDescent="0.35">
      <c r="A37" s="15"/>
      <c r="B37" s="15"/>
      <c r="C37" s="15"/>
      <c r="D37" s="15"/>
      <c r="E37" s="15"/>
      <c r="F37" s="15"/>
      <c r="G37" s="15"/>
      <c r="H37" s="15"/>
      <c r="I37" s="15"/>
      <c r="J37" s="15"/>
      <c r="K37" s="15"/>
      <c r="L37" s="15"/>
      <c r="M37" s="15"/>
      <c r="N37" s="15"/>
      <c r="O37" s="15"/>
      <c r="P37" s="15"/>
      <c r="Q37" s="15"/>
      <c r="R37" s="15"/>
      <c r="S37" s="15"/>
      <c r="T37" s="15"/>
    </row>
    <row r="38" spans="1:20" ht="19.5" customHeight="1" x14ac:dyDescent="0.35">
      <c r="A38" s="15"/>
      <c r="B38" s="15"/>
      <c r="C38" s="15"/>
      <c r="D38" s="15"/>
      <c r="E38" s="15"/>
      <c r="F38" s="15"/>
      <c r="G38" s="15"/>
      <c r="H38" s="15"/>
      <c r="I38" s="15"/>
      <c r="J38" s="15"/>
      <c r="K38" s="15"/>
      <c r="L38" s="15"/>
      <c r="M38" s="15"/>
      <c r="N38" s="15"/>
      <c r="O38" s="15"/>
      <c r="P38" s="15"/>
      <c r="Q38" s="15"/>
      <c r="R38" s="15"/>
      <c r="S38" s="15"/>
      <c r="T38" s="15"/>
    </row>
    <row r="39" spans="1:20" ht="19.5" customHeight="1" x14ac:dyDescent="0.35">
      <c r="A39" s="15"/>
      <c r="B39" s="15"/>
      <c r="C39" s="15"/>
      <c r="D39" s="15"/>
      <c r="E39" s="15"/>
      <c r="F39" s="15"/>
      <c r="G39" s="15"/>
      <c r="H39" s="15"/>
      <c r="I39" s="15"/>
      <c r="J39" s="15"/>
      <c r="K39" s="15"/>
      <c r="L39" s="15"/>
      <c r="M39" s="15"/>
      <c r="N39" s="15"/>
      <c r="O39" s="15"/>
      <c r="P39" s="15"/>
      <c r="Q39" s="15"/>
      <c r="R39" s="15"/>
      <c r="S39" s="15"/>
      <c r="T39" s="15"/>
    </row>
    <row r="40" spans="1:20" ht="19.5" customHeight="1" x14ac:dyDescent="0.35">
      <c r="A40" s="15"/>
      <c r="B40" s="15"/>
      <c r="C40" s="15"/>
      <c r="D40" s="15"/>
      <c r="E40" s="15"/>
      <c r="F40" s="15"/>
      <c r="G40" s="15"/>
      <c r="H40" s="15"/>
      <c r="I40" s="15"/>
      <c r="J40" s="15"/>
      <c r="K40" s="15"/>
      <c r="L40" s="15"/>
      <c r="M40" s="15"/>
      <c r="N40" s="15"/>
      <c r="O40" s="15"/>
      <c r="P40" s="15"/>
      <c r="Q40" s="15"/>
      <c r="R40" s="15"/>
      <c r="S40" s="15"/>
      <c r="T40" s="15"/>
    </row>
    <row r="41" spans="1:20" ht="19.5" customHeight="1" x14ac:dyDescent="0.35">
      <c r="A41" s="15"/>
      <c r="B41" s="15"/>
      <c r="C41" s="15"/>
      <c r="D41" s="15"/>
      <c r="E41" s="15"/>
      <c r="F41" s="15"/>
      <c r="G41" s="15"/>
      <c r="H41" s="15"/>
      <c r="I41" s="15"/>
      <c r="J41" s="15"/>
      <c r="K41" s="15"/>
      <c r="L41" s="15"/>
      <c r="M41" s="15"/>
      <c r="N41" s="15"/>
      <c r="O41" s="15"/>
      <c r="P41" s="15"/>
      <c r="Q41" s="15"/>
      <c r="R41" s="15"/>
      <c r="S41" s="15"/>
      <c r="T41" s="15"/>
    </row>
    <row r="42" spans="1:20" ht="19.5" customHeight="1" x14ac:dyDescent="0.35">
      <c r="A42" s="15"/>
      <c r="B42" s="15"/>
      <c r="C42" s="15"/>
      <c r="D42" s="15"/>
      <c r="E42" s="15"/>
      <c r="F42" s="15"/>
      <c r="G42" s="15"/>
      <c r="H42" s="15"/>
      <c r="I42" s="15"/>
      <c r="J42" s="15"/>
      <c r="K42" s="15"/>
      <c r="L42" s="15"/>
      <c r="M42" s="15"/>
      <c r="N42" s="15"/>
      <c r="O42" s="15"/>
      <c r="P42" s="15"/>
      <c r="Q42" s="15"/>
      <c r="R42" s="15"/>
      <c r="S42" s="15"/>
      <c r="T42" s="15"/>
    </row>
    <row r="43" spans="1:20" ht="19.5" customHeight="1" x14ac:dyDescent="0.35">
      <c r="A43" s="15"/>
      <c r="B43" s="15"/>
      <c r="C43" s="15"/>
      <c r="D43" s="15"/>
      <c r="E43" s="15"/>
      <c r="F43" s="15"/>
      <c r="G43" s="15"/>
      <c r="H43" s="15"/>
      <c r="I43" s="15"/>
      <c r="J43" s="15"/>
      <c r="K43" s="15"/>
      <c r="L43" s="15"/>
      <c r="M43" s="15"/>
      <c r="N43" s="15"/>
      <c r="O43" s="15"/>
      <c r="P43" s="15"/>
      <c r="Q43" s="15"/>
      <c r="R43" s="15"/>
      <c r="S43" s="15"/>
      <c r="T43" s="15"/>
    </row>
    <row r="44" spans="1:20" ht="19.5" customHeight="1" x14ac:dyDescent="0.35">
      <c r="A44" s="15"/>
      <c r="B44" s="15"/>
      <c r="C44" s="15"/>
      <c r="D44" s="15"/>
      <c r="E44" s="15"/>
      <c r="F44" s="15"/>
      <c r="G44" s="15"/>
      <c r="H44" s="15"/>
      <c r="I44" s="15"/>
      <c r="J44" s="15"/>
      <c r="K44" s="15"/>
      <c r="L44" s="15"/>
      <c r="M44" s="15"/>
      <c r="N44" s="15"/>
      <c r="O44" s="15"/>
      <c r="P44" s="15"/>
      <c r="Q44" s="15"/>
      <c r="R44" s="15"/>
      <c r="S44" s="15"/>
      <c r="T44" s="15"/>
    </row>
    <row r="45" spans="1:20" ht="19.5" customHeight="1" x14ac:dyDescent="0.35">
      <c r="A45" s="15"/>
      <c r="B45" s="15"/>
      <c r="C45" s="15"/>
      <c r="D45" s="15"/>
      <c r="E45" s="15"/>
      <c r="F45" s="15"/>
      <c r="G45" s="15"/>
      <c r="H45" s="15"/>
      <c r="I45" s="15"/>
      <c r="J45" s="15"/>
      <c r="K45" s="15"/>
      <c r="L45" s="15"/>
      <c r="M45" s="15"/>
      <c r="N45" s="15"/>
      <c r="O45" s="15"/>
      <c r="P45" s="15"/>
      <c r="Q45" s="15"/>
      <c r="R45" s="15"/>
      <c r="S45" s="15"/>
      <c r="T45" s="15"/>
    </row>
    <row r="46" spans="1:20" ht="19.5" customHeight="1" x14ac:dyDescent="0.35">
      <c r="A46" s="15"/>
      <c r="B46" s="15"/>
      <c r="C46" s="15"/>
      <c r="D46" s="15"/>
      <c r="E46" s="15"/>
      <c r="F46" s="15"/>
      <c r="G46" s="15"/>
      <c r="H46" s="15"/>
      <c r="I46" s="15"/>
      <c r="J46" s="15"/>
      <c r="K46" s="15"/>
      <c r="L46" s="15"/>
      <c r="M46" s="15"/>
      <c r="N46" s="15"/>
      <c r="O46" s="15"/>
      <c r="P46" s="15"/>
      <c r="Q46" s="15"/>
      <c r="R46" s="15"/>
      <c r="S46" s="15"/>
      <c r="T46" s="15"/>
    </row>
    <row r="47" spans="1:20" ht="19.5" customHeight="1" x14ac:dyDescent="0.35">
      <c r="A47" s="15"/>
      <c r="B47" s="15"/>
      <c r="C47" s="15"/>
      <c r="D47" s="15"/>
      <c r="E47" s="15"/>
      <c r="F47" s="15"/>
      <c r="G47" s="15"/>
      <c r="H47" s="15"/>
      <c r="I47" s="15"/>
      <c r="J47" s="15"/>
      <c r="K47" s="15"/>
      <c r="L47" s="15"/>
      <c r="M47" s="15"/>
      <c r="N47" s="15"/>
      <c r="O47" s="15"/>
      <c r="P47" s="15"/>
      <c r="Q47" s="15"/>
      <c r="R47" s="15"/>
      <c r="S47" s="15"/>
      <c r="T47" s="15"/>
    </row>
    <row r="48" spans="1:20" ht="19.5" customHeight="1" x14ac:dyDescent="0.35">
      <c r="A48" s="15"/>
      <c r="B48" s="15"/>
      <c r="C48" s="15"/>
      <c r="D48" s="15"/>
      <c r="E48" s="15"/>
      <c r="F48" s="15"/>
      <c r="G48" s="15"/>
      <c r="H48" s="15"/>
      <c r="I48" s="15"/>
      <c r="J48" s="15"/>
      <c r="K48" s="15"/>
      <c r="L48" s="15"/>
      <c r="M48" s="15"/>
      <c r="N48" s="15"/>
      <c r="O48" s="15"/>
      <c r="P48" s="15"/>
      <c r="Q48" s="15"/>
      <c r="R48" s="15"/>
      <c r="S48" s="15"/>
      <c r="T48" s="15"/>
    </row>
    <row r="49" spans="1:20" ht="19.5" customHeight="1" x14ac:dyDescent="0.35">
      <c r="A49" s="15"/>
      <c r="B49" s="15"/>
      <c r="C49" s="15"/>
      <c r="D49" s="15"/>
      <c r="E49" s="15"/>
      <c r="F49" s="15"/>
      <c r="G49" s="15"/>
      <c r="H49" s="15"/>
      <c r="I49" s="15"/>
      <c r="J49" s="15"/>
      <c r="K49" s="15"/>
      <c r="L49" s="15"/>
      <c r="M49" s="15"/>
      <c r="N49" s="15"/>
      <c r="O49" s="15"/>
      <c r="P49" s="15"/>
      <c r="Q49" s="15"/>
      <c r="R49" s="15"/>
      <c r="S49" s="15"/>
      <c r="T49" s="15"/>
    </row>
    <row r="50" spans="1:20" ht="19.5" customHeight="1" x14ac:dyDescent="0.35">
      <c r="A50" s="15"/>
      <c r="B50" s="15"/>
      <c r="C50" s="15"/>
      <c r="D50" s="15"/>
      <c r="E50" s="15"/>
      <c r="F50" s="15"/>
      <c r="G50" s="15"/>
      <c r="H50" s="15"/>
      <c r="I50" s="15"/>
      <c r="J50" s="15"/>
      <c r="K50" s="15"/>
      <c r="L50" s="15"/>
      <c r="M50" s="15"/>
      <c r="N50" s="15"/>
      <c r="O50" s="15"/>
      <c r="P50" s="15"/>
      <c r="Q50" s="15"/>
      <c r="R50" s="15"/>
      <c r="S50" s="15"/>
      <c r="T50" s="15"/>
    </row>
    <row r="51" spans="1:20" ht="19.5" customHeight="1" x14ac:dyDescent="0.35">
      <c r="A51" s="15"/>
      <c r="B51" s="15"/>
      <c r="C51" s="15"/>
      <c r="D51" s="15"/>
      <c r="E51" s="15"/>
      <c r="F51" s="15"/>
      <c r="G51" s="15"/>
      <c r="H51" s="15"/>
      <c r="I51" s="15"/>
      <c r="J51" s="15"/>
      <c r="K51" s="15"/>
      <c r="L51" s="15"/>
      <c r="M51" s="15"/>
      <c r="N51" s="15"/>
      <c r="O51" s="15"/>
      <c r="P51" s="15"/>
      <c r="Q51" s="15"/>
      <c r="R51" s="15"/>
      <c r="S51" s="15"/>
      <c r="T51" s="15"/>
    </row>
    <row r="52" spans="1:20" ht="19.5" customHeight="1" x14ac:dyDescent="0.35">
      <c r="A52" s="15"/>
      <c r="B52" s="15"/>
      <c r="C52" s="15"/>
      <c r="D52" s="15"/>
      <c r="E52" s="15"/>
      <c r="F52" s="15"/>
      <c r="G52" s="15"/>
      <c r="H52" s="15"/>
      <c r="I52" s="15"/>
      <c r="J52" s="15"/>
      <c r="K52" s="15"/>
      <c r="L52" s="15"/>
      <c r="M52" s="15"/>
      <c r="N52" s="15"/>
      <c r="O52" s="15"/>
      <c r="P52" s="15"/>
      <c r="Q52" s="15"/>
      <c r="R52" s="15"/>
      <c r="S52" s="15"/>
      <c r="T52" s="15"/>
    </row>
    <row r="53" spans="1:20" ht="19.5" customHeight="1" x14ac:dyDescent="0.35">
      <c r="A53" s="15"/>
      <c r="B53" s="15"/>
      <c r="C53" s="15"/>
      <c r="D53" s="15"/>
      <c r="E53" s="15"/>
      <c r="F53" s="15"/>
      <c r="G53" s="15"/>
      <c r="H53" s="15"/>
      <c r="I53" s="15"/>
      <c r="J53" s="15"/>
      <c r="K53" s="15"/>
      <c r="L53" s="15"/>
      <c r="M53" s="15"/>
      <c r="N53" s="15"/>
      <c r="O53" s="15"/>
      <c r="P53" s="15"/>
      <c r="Q53" s="15"/>
      <c r="R53" s="15"/>
      <c r="S53" s="15"/>
      <c r="T53" s="15"/>
    </row>
    <row r="54" spans="1:20" ht="19.5" customHeight="1" x14ac:dyDescent="0.35">
      <c r="A54" s="15"/>
      <c r="B54" s="15"/>
      <c r="C54" s="15"/>
      <c r="D54" s="15"/>
      <c r="E54" s="15"/>
      <c r="F54" s="15"/>
      <c r="G54" s="15"/>
      <c r="H54" s="15"/>
      <c r="I54" s="15"/>
      <c r="J54" s="15"/>
      <c r="K54" s="15"/>
      <c r="L54" s="15"/>
      <c r="M54" s="15"/>
      <c r="N54" s="15"/>
      <c r="O54" s="15"/>
      <c r="P54" s="15"/>
      <c r="Q54" s="15"/>
      <c r="R54" s="15"/>
      <c r="S54" s="15"/>
      <c r="T54" s="15"/>
    </row>
    <row r="55" spans="1:20" ht="19.5" customHeight="1" x14ac:dyDescent="0.35">
      <c r="A55" s="15"/>
      <c r="B55" s="15"/>
      <c r="C55" s="15"/>
      <c r="D55" s="15"/>
      <c r="E55" s="15"/>
      <c r="F55" s="15"/>
      <c r="G55" s="15"/>
      <c r="H55" s="15"/>
      <c r="I55" s="15"/>
      <c r="J55" s="15"/>
      <c r="K55" s="15"/>
      <c r="L55" s="15"/>
      <c r="M55" s="15"/>
      <c r="N55" s="15"/>
      <c r="O55" s="15"/>
      <c r="P55" s="15"/>
      <c r="Q55" s="15"/>
      <c r="R55" s="15"/>
      <c r="S55" s="15"/>
      <c r="T55" s="15"/>
    </row>
    <row r="56" spans="1:20" ht="19.5" customHeight="1" x14ac:dyDescent="0.35">
      <c r="A56" s="15"/>
      <c r="B56" s="15"/>
      <c r="C56" s="15"/>
      <c r="D56" s="15"/>
      <c r="E56" s="15"/>
      <c r="F56" s="15"/>
      <c r="G56" s="15"/>
      <c r="H56" s="15"/>
      <c r="I56" s="15"/>
      <c r="J56" s="15"/>
      <c r="K56" s="15"/>
      <c r="L56" s="15"/>
      <c r="M56" s="15"/>
      <c r="N56" s="15"/>
      <c r="O56" s="15"/>
      <c r="P56" s="15"/>
      <c r="Q56" s="15"/>
      <c r="R56" s="15"/>
      <c r="S56" s="15"/>
      <c r="T56" s="15"/>
    </row>
    <row r="57" spans="1:20" ht="19.5" customHeight="1" x14ac:dyDescent="0.35">
      <c r="A57" s="15"/>
      <c r="B57" s="15"/>
      <c r="C57" s="15"/>
      <c r="D57" s="15"/>
      <c r="E57" s="15"/>
      <c r="F57" s="15"/>
      <c r="G57" s="15"/>
      <c r="H57" s="15"/>
      <c r="I57" s="15"/>
      <c r="J57" s="15"/>
      <c r="K57" s="15"/>
      <c r="L57" s="15"/>
      <c r="M57" s="15"/>
      <c r="N57" s="15"/>
      <c r="O57" s="15"/>
      <c r="P57" s="15"/>
      <c r="Q57" s="15"/>
      <c r="R57" s="15"/>
      <c r="S57" s="15"/>
      <c r="T57" s="15"/>
    </row>
    <row r="58" spans="1:20" ht="19.5" customHeight="1" x14ac:dyDescent="0.35">
      <c r="A58" s="15"/>
      <c r="B58" s="15"/>
      <c r="C58" s="15"/>
      <c r="D58" s="15"/>
      <c r="E58" s="15"/>
      <c r="F58" s="15"/>
      <c r="G58" s="15"/>
      <c r="H58" s="15"/>
      <c r="I58" s="15"/>
      <c r="J58" s="15"/>
      <c r="K58" s="15"/>
      <c r="L58" s="15"/>
      <c r="M58" s="15"/>
      <c r="N58" s="15"/>
      <c r="O58" s="15"/>
      <c r="P58" s="15"/>
      <c r="Q58" s="15"/>
      <c r="R58" s="15"/>
      <c r="S58" s="15"/>
      <c r="T58" s="15"/>
    </row>
    <row r="59" spans="1:20" ht="19.5" customHeight="1" x14ac:dyDescent="0.35">
      <c r="A59" s="15"/>
      <c r="B59" s="15"/>
      <c r="C59" s="15"/>
      <c r="D59" s="15"/>
      <c r="E59" s="15"/>
      <c r="F59" s="15"/>
      <c r="G59" s="15"/>
      <c r="H59" s="15"/>
      <c r="I59" s="15"/>
      <c r="J59" s="15"/>
      <c r="K59" s="15"/>
      <c r="L59" s="15"/>
      <c r="M59" s="15"/>
      <c r="N59" s="15"/>
      <c r="O59" s="15"/>
      <c r="P59" s="15"/>
      <c r="Q59" s="15"/>
      <c r="R59" s="15"/>
      <c r="S59" s="15"/>
      <c r="T59" s="15"/>
    </row>
    <row r="60" spans="1:20" ht="19.5" customHeight="1" x14ac:dyDescent="0.35">
      <c r="A60" s="15"/>
      <c r="B60" s="15"/>
      <c r="C60" s="15"/>
      <c r="D60" s="15"/>
      <c r="E60" s="15"/>
      <c r="F60" s="15"/>
      <c r="G60" s="15"/>
      <c r="H60" s="15"/>
      <c r="I60" s="15"/>
      <c r="J60" s="15"/>
      <c r="K60" s="15"/>
      <c r="L60" s="15"/>
      <c r="M60" s="15"/>
      <c r="N60" s="15"/>
      <c r="O60" s="15"/>
      <c r="P60" s="15"/>
      <c r="Q60" s="15"/>
      <c r="R60" s="15"/>
      <c r="S60" s="15"/>
      <c r="T60" s="15"/>
    </row>
    <row r="61" spans="1:20" ht="19.5" customHeight="1" x14ac:dyDescent="0.35">
      <c r="A61" s="15"/>
      <c r="B61" s="15"/>
      <c r="C61" s="15"/>
      <c r="D61" s="15"/>
      <c r="E61" s="15"/>
      <c r="F61" s="15"/>
      <c r="G61" s="15"/>
      <c r="H61" s="15"/>
      <c r="I61" s="15"/>
      <c r="J61" s="15"/>
      <c r="K61" s="15"/>
      <c r="L61" s="15"/>
      <c r="M61" s="15"/>
      <c r="N61" s="15"/>
      <c r="O61" s="15"/>
      <c r="P61" s="15"/>
      <c r="Q61" s="15"/>
      <c r="R61" s="15"/>
      <c r="S61" s="15"/>
      <c r="T61" s="15"/>
    </row>
    <row r="62" spans="1:20" ht="19.5" customHeight="1" x14ac:dyDescent="0.35">
      <c r="A62" s="15"/>
      <c r="B62" s="15"/>
      <c r="C62" s="15"/>
      <c r="D62" s="15"/>
      <c r="E62" s="15"/>
      <c r="F62" s="15"/>
      <c r="G62" s="15"/>
      <c r="H62" s="15"/>
      <c r="I62" s="15"/>
      <c r="J62" s="15"/>
      <c r="K62" s="15"/>
      <c r="L62" s="15"/>
      <c r="M62" s="15"/>
      <c r="N62" s="15"/>
      <c r="O62" s="15"/>
      <c r="P62" s="15"/>
      <c r="Q62" s="15"/>
      <c r="R62" s="15"/>
      <c r="S62" s="15"/>
      <c r="T62" s="15"/>
    </row>
    <row r="63" spans="1:20" ht="19.5" customHeight="1" x14ac:dyDescent="0.35">
      <c r="A63" s="15"/>
      <c r="B63" s="15"/>
      <c r="C63" s="15"/>
      <c r="D63" s="15"/>
      <c r="E63" s="15"/>
      <c r="F63" s="15"/>
      <c r="G63" s="15"/>
      <c r="H63" s="15"/>
      <c r="I63" s="15"/>
      <c r="J63" s="15"/>
      <c r="K63" s="15"/>
      <c r="L63" s="15"/>
      <c r="M63" s="15"/>
      <c r="N63" s="15"/>
      <c r="O63" s="15"/>
      <c r="P63" s="15"/>
      <c r="Q63" s="15"/>
      <c r="R63" s="15"/>
      <c r="S63" s="15"/>
      <c r="T63" s="15"/>
    </row>
    <row r="64" spans="1:20" ht="19.5" customHeight="1" x14ac:dyDescent="0.35">
      <c r="A64" s="15"/>
      <c r="B64" s="15"/>
      <c r="C64" s="15"/>
      <c r="D64" s="15"/>
      <c r="E64" s="15"/>
      <c r="F64" s="15"/>
      <c r="G64" s="15"/>
      <c r="H64" s="15"/>
      <c r="I64" s="15"/>
      <c r="J64" s="15"/>
      <c r="K64" s="15"/>
      <c r="L64" s="15"/>
      <c r="M64" s="15"/>
      <c r="N64" s="15"/>
      <c r="O64" s="15"/>
      <c r="P64" s="15"/>
      <c r="Q64" s="15"/>
      <c r="R64" s="15"/>
      <c r="S64" s="15"/>
      <c r="T64" s="15"/>
    </row>
    <row r="65" spans="1:20" ht="19.5" customHeight="1" x14ac:dyDescent="0.35">
      <c r="A65" s="15"/>
      <c r="B65" s="15"/>
      <c r="C65" s="15"/>
      <c r="D65" s="15"/>
      <c r="E65" s="15"/>
      <c r="F65" s="15"/>
      <c r="G65" s="15"/>
      <c r="H65" s="15"/>
      <c r="I65" s="15"/>
      <c r="J65" s="15"/>
      <c r="K65" s="15"/>
      <c r="L65" s="15"/>
      <c r="M65" s="15"/>
      <c r="N65" s="15"/>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19.5" customHeight="1" x14ac:dyDescent="0.35">
      <c r="A67" s="15"/>
      <c r="B67" s="15"/>
      <c r="C67" s="15"/>
      <c r="D67" s="15"/>
      <c r="E67" s="15"/>
      <c r="F67" s="15"/>
      <c r="G67" s="15"/>
      <c r="H67" s="15"/>
      <c r="I67" s="15"/>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9.5" customHeight="1" x14ac:dyDescent="0.35">
      <c r="A80" s="15"/>
      <c r="B80" s="15"/>
      <c r="C80" s="15"/>
      <c r="D80" s="15"/>
      <c r="E80" s="15"/>
      <c r="F80" s="15"/>
      <c r="G80" s="15"/>
      <c r="H80" s="15"/>
      <c r="I80" s="15"/>
      <c r="J80" s="15"/>
      <c r="K80" s="15"/>
      <c r="L80" s="15"/>
      <c r="M80" s="15"/>
      <c r="N80" s="15"/>
      <c r="O80" s="15"/>
      <c r="P80" s="15"/>
      <c r="Q80" s="15"/>
      <c r="R80" s="15"/>
      <c r="S80" s="15"/>
      <c r="T80" s="15"/>
    </row>
    <row r="81" spans="1:20" ht="19.5" customHeight="1" x14ac:dyDescent="0.35">
      <c r="A81" s="15"/>
      <c r="B81" s="15"/>
      <c r="C81" s="15"/>
      <c r="D81" s="15"/>
      <c r="E81" s="15"/>
      <c r="F81" s="15"/>
      <c r="G81" s="15"/>
      <c r="H81" s="15"/>
      <c r="I81" s="15"/>
      <c r="J81" s="15"/>
      <c r="K81" s="15"/>
      <c r="L81" s="15"/>
      <c r="M81" s="15"/>
      <c r="N81" s="15"/>
      <c r="O81" s="15"/>
      <c r="P81" s="15"/>
      <c r="Q81" s="15"/>
      <c r="R81" s="15"/>
      <c r="S81" s="15"/>
      <c r="T81" s="15"/>
    </row>
    <row r="82" spans="1:20" ht="19.5" customHeight="1" x14ac:dyDescent="0.35">
      <c r="A82" s="15"/>
      <c r="B82" s="15"/>
      <c r="C82" s="15"/>
      <c r="D82" s="15"/>
      <c r="E82" s="15"/>
      <c r="F82" s="15"/>
      <c r="G82" s="15"/>
      <c r="H82" s="15"/>
      <c r="I82" s="15"/>
      <c r="J82" s="15"/>
      <c r="K82" s="15"/>
      <c r="L82" s="15"/>
      <c r="M82" s="15"/>
      <c r="N82" s="15"/>
      <c r="O82" s="15"/>
      <c r="P82" s="15"/>
      <c r="Q82" s="15"/>
      <c r="R82" s="15"/>
      <c r="S82" s="15"/>
      <c r="T82" s="15"/>
    </row>
    <row r="83" spans="1:20" ht="19.5" customHeight="1" x14ac:dyDescent="0.35">
      <c r="A83" s="15"/>
      <c r="B83" s="15"/>
      <c r="C83" s="15"/>
      <c r="D83" s="15"/>
      <c r="E83" s="15"/>
      <c r="F83" s="15"/>
      <c r="G83" s="15"/>
      <c r="H83" s="15"/>
      <c r="I83" s="15"/>
      <c r="J83" s="15"/>
      <c r="K83" s="15"/>
      <c r="L83" s="15"/>
      <c r="M83" s="15"/>
      <c r="N83" s="15"/>
      <c r="O83" s="15"/>
      <c r="P83" s="15"/>
      <c r="Q83" s="15"/>
      <c r="R83" s="15"/>
      <c r="S83" s="15"/>
      <c r="T83" s="15"/>
    </row>
    <row r="84" spans="1:20" ht="19.5" customHeight="1" x14ac:dyDescent="0.35">
      <c r="A84" s="15"/>
      <c r="B84" s="15"/>
      <c r="C84" s="15"/>
      <c r="D84" s="15"/>
      <c r="E84" s="15"/>
      <c r="F84" s="15"/>
      <c r="G84" s="15"/>
      <c r="H84" s="15"/>
      <c r="I84" s="15"/>
      <c r="J84" s="15"/>
      <c r="K84" s="15"/>
      <c r="L84" s="15"/>
      <c r="M84" s="15"/>
      <c r="N84" s="15"/>
      <c r="O84" s="15"/>
      <c r="P84" s="15"/>
      <c r="Q84" s="15"/>
      <c r="R84" s="15"/>
      <c r="S84" s="15"/>
      <c r="T84" s="15"/>
    </row>
    <row r="85" spans="1:20" ht="19.5" customHeight="1" x14ac:dyDescent="0.35">
      <c r="A85" s="15"/>
      <c r="B85" s="15"/>
      <c r="C85" s="15"/>
      <c r="D85" s="15"/>
      <c r="E85" s="15"/>
      <c r="F85" s="15"/>
      <c r="G85" s="15"/>
      <c r="H85" s="15"/>
      <c r="I85" s="15"/>
      <c r="J85" s="15"/>
      <c r="K85" s="15"/>
      <c r="L85" s="15"/>
      <c r="M85" s="15"/>
      <c r="N85" s="15"/>
      <c r="O85" s="15"/>
      <c r="P85" s="15"/>
      <c r="Q85" s="15"/>
      <c r="R85" s="15"/>
      <c r="S85" s="15"/>
      <c r="T85" s="15"/>
    </row>
    <row r="86" spans="1:20" ht="19.5" customHeight="1" x14ac:dyDescent="0.35">
      <c r="A86" s="15"/>
      <c r="B86" s="15"/>
      <c r="C86" s="15"/>
      <c r="D86" s="15"/>
      <c r="E86" s="15"/>
      <c r="F86" s="15"/>
      <c r="G86" s="15"/>
      <c r="H86" s="15"/>
      <c r="I86" s="15"/>
      <c r="J86" s="15"/>
      <c r="K86" s="15"/>
      <c r="L86" s="15"/>
      <c r="M86" s="15"/>
      <c r="N86" s="15"/>
      <c r="O86" s="15"/>
      <c r="P86" s="15"/>
      <c r="Q86" s="15"/>
      <c r="R86" s="15"/>
      <c r="S86" s="15"/>
      <c r="T86" s="15"/>
    </row>
    <row r="87" spans="1:20" ht="19.5" customHeight="1" x14ac:dyDescent="0.35">
      <c r="A87" s="15"/>
      <c r="B87" s="15"/>
      <c r="C87" s="15"/>
      <c r="D87" s="15"/>
      <c r="E87" s="15"/>
      <c r="F87" s="15"/>
      <c r="G87" s="15"/>
      <c r="H87" s="15"/>
      <c r="I87" s="15"/>
      <c r="J87" s="15"/>
      <c r="K87" s="15"/>
      <c r="L87" s="15"/>
      <c r="M87" s="15"/>
      <c r="N87" s="15"/>
      <c r="O87" s="15"/>
      <c r="P87" s="15"/>
      <c r="Q87" s="15"/>
      <c r="R87" s="15"/>
      <c r="S87" s="15"/>
      <c r="T87" s="15"/>
    </row>
    <row r="88" spans="1:20" ht="19.5" customHeight="1" x14ac:dyDescent="0.35">
      <c r="A88" s="15"/>
      <c r="B88" s="15"/>
      <c r="C88" s="15"/>
      <c r="D88" s="15"/>
      <c r="E88" s="15"/>
      <c r="F88" s="15"/>
      <c r="G88" s="15"/>
      <c r="H88" s="15"/>
      <c r="I88" s="15"/>
      <c r="J88" s="15"/>
      <c r="K88" s="15"/>
      <c r="L88" s="15"/>
      <c r="M88" s="15"/>
      <c r="N88" s="15"/>
      <c r="O88" s="15"/>
      <c r="P88" s="15"/>
      <c r="Q88" s="15"/>
      <c r="R88" s="15"/>
      <c r="S88" s="15"/>
      <c r="T88" s="15"/>
    </row>
    <row r="89" spans="1:20" ht="19.5" customHeight="1" x14ac:dyDescent="0.35">
      <c r="A89" s="15"/>
      <c r="B89" s="15"/>
      <c r="C89" s="15"/>
      <c r="D89" s="15"/>
      <c r="E89" s="15"/>
      <c r="F89" s="15"/>
      <c r="G89" s="15"/>
      <c r="H89" s="15"/>
      <c r="I89" s="15"/>
      <c r="J89" s="15"/>
      <c r="K89" s="15"/>
      <c r="L89" s="15"/>
      <c r="M89" s="15"/>
      <c r="N89" s="15"/>
      <c r="O89" s="15"/>
      <c r="P89" s="15"/>
      <c r="Q89" s="15"/>
      <c r="R89" s="15"/>
      <c r="S89" s="15"/>
      <c r="T89" s="15"/>
    </row>
    <row r="90" spans="1:20" ht="19.5" customHeight="1" x14ac:dyDescent="0.35">
      <c r="A90" s="15"/>
      <c r="B90" s="15"/>
      <c r="C90" s="15"/>
      <c r="D90" s="15"/>
      <c r="E90" s="15"/>
      <c r="F90" s="15"/>
      <c r="G90" s="15"/>
      <c r="H90" s="15"/>
      <c r="I90" s="15"/>
      <c r="J90" s="15"/>
      <c r="K90" s="15"/>
      <c r="L90" s="15"/>
      <c r="M90" s="15"/>
      <c r="N90" s="15"/>
      <c r="O90" s="15"/>
      <c r="P90" s="15"/>
      <c r="Q90" s="15"/>
      <c r="R90" s="15"/>
      <c r="S90" s="15"/>
      <c r="T90" s="15"/>
    </row>
    <row r="91" spans="1:20" ht="19.5" customHeight="1" x14ac:dyDescent="0.35">
      <c r="A91" s="15"/>
      <c r="B91" s="15"/>
      <c r="C91" s="15"/>
      <c r="D91" s="15"/>
      <c r="E91" s="15"/>
      <c r="F91" s="15"/>
      <c r="G91" s="15"/>
      <c r="H91" s="15"/>
      <c r="I91" s="15"/>
      <c r="J91" s="15"/>
      <c r="K91" s="15"/>
      <c r="L91" s="15"/>
      <c r="M91" s="15"/>
      <c r="N91" s="15"/>
      <c r="O91" s="15"/>
      <c r="P91" s="15"/>
      <c r="Q91" s="15"/>
      <c r="R91" s="15"/>
      <c r="S91" s="15"/>
      <c r="T91" s="15"/>
    </row>
    <row r="92" spans="1:20" ht="19.5" customHeight="1" x14ac:dyDescent="0.35">
      <c r="A92" s="15"/>
      <c r="B92" s="15"/>
      <c r="C92" s="15"/>
      <c r="D92" s="15"/>
      <c r="E92" s="15"/>
      <c r="F92" s="15"/>
      <c r="G92" s="15"/>
      <c r="H92" s="15"/>
      <c r="I92" s="15"/>
      <c r="J92" s="15"/>
      <c r="K92" s="15"/>
      <c r="L92" s="15"/>
      <c r="M92" s="15"/>
      <c r="N92" s="15"/>
      <c r="O92" s="15"/>
      <c r="P92" s="15"/>
      <c r="Q92" s="15"/>
      <c r="R92" s="15"/>
      <c r="S92" s="15"/>
      <c r="T92" s="15"/>
    </row>
    <row r="93" spans="1:20" ht="19.5" customHeight="1" x14ac:dyDescent="0.35">
      <c r="A93" s="15"/>
      <c r="B93" s="15"/>
      <c r="C93" s="15"/>
      <c r="D93" s="15"/>
      <c r="E93" s="15"/>
      <c r="F93" s="15"/>
      <c r="G93" s="15"/>
      <c r="H93" s="15"/>
      <c r="I93" s="15"/>
      <c r="J93" s="15"/>
      <c r="K93" s="15"/>
      <c r="L93" s="15"/>
      <c r="M93" s="15"/>
      <c r="N93" s="15"/>
      <c r="O93" s="15"/>
      <c r="P93" s="15"/>
      <c r="Q93" s="15"/>
      <c r="R93" s="15"/>
      <c r="S93" s="15"/>
      <c r="T93" s="15"/>
    </row>
    <row r="94" spans="1:20" ht="19.5" customHeight="1" x14ac:dyDescent="0.35">
      <c r="A94" s="15"/>
      <c r="B94" s="15"/>
      <c r="C94" s="15"/>
      <c r="D94" s="15"/>
      <c r="E94" s="15"/>
      <c r="F94" s="15"/>
      <c r="G94" s="15"/>
      <c r="H94" s="15"/>
      <c r="I94" s="15"/>
      <c r="J94" s="15"/>
      <c r="K94" s="15"/>
      <c r="L94" s="15"/>
      <c r="M94" s="15"/>
      <c r="N94" s="15"/>
      <c r="O94" s="15"/>
      <c r="P94" s="15"/>
      <c r="Q94" s="15"/>
      <c r="R94" s="15"/>
      <c r="S94" s="15"/>
      <c r="T94" s="15"/>
    </row>
    <row r="95" spans="1:20" ht="19.5" customHeight="1" x14ac:dyDescent="0.35">
      <c r="A95" s="15"/>
      <c r="B95" s="15"/>
      <c r="C95" s="15"/>
      <c r="D95" s="15"/>
      <c r="E95" s="15"/>
      <c r="F95" s="15"/>
      <c r="G95" s="15"/>
      <c r="H95" s="15"/>
      <c r="I95" s="15"/>
      <c r="J95" s="15"/>
      <c r="K95" s="15"/>
      <c r="L95" s="15"/>
      <c r="M95" s="15"/>
      <c r="N95" s="15"/>
      <c r="O95" s="15"/>
      <c r="P95" s="15"/>
      <c r="Q95" s="15"/>
      <c r="R95" s="15"/>
      <c r="S95" s="15"/>
      <c r="T95" s="15"/>
    </row>
    <row r="96" spans="1:20" ht="19.5" customHeight="1" x14ac:dyDescent="0.35">
      <c r="A96" s="15"/>
      <c r="B96" s="15"/>
      <c r="C96" s="15"/>
      <c r="D96" s="15"/>
      <c r="E96" s="15"/>
      <c r="F96" s="15"/>
      <c r="G96" s="15"/>
      <c r="H96" s="15"/>
      <c r="I96" s="15"/>
      <c r="J96" s="15"/>
      <c r="K96" s="15"/>
      <c r="L96" s="15"/>
      <c r="M96" s="15"/>
      <c r="N96" s="15"/>
      <c r="O96" s="15"/>
      <c r="P96" s="15"/>
      <c r="Q96" s="15"/>
      <c r="R96" s="15"/>
      <c r="S96" s="15"/>
      <c r="T96" s="15"/>
    </row>
    <row r="97" spans="1:20" ht="19.5" customHeight="1" x14ac:dyDescent="0.35">
      <c r="A97" s="15"/>
      <c r="B97" s="15"/>
      <c r="C97" s="15"/>
      <c r="D97" s="15"/>
      <c r="E97" s="15"/>
      <c r="F97" s="15"/>
      <c r="G97" s="15"/>
      <c r="H97" s="15"/>
      <c r="I97" s="15"/>
      <c r="J97" s="15"/>
      <c r="K97" s="15"/>
      <c r="L97" s="15"/>
      <c r="M97" s="15"/>
      <c r="N97" s="15"/>
      <c r="O97" s="15"/>
      <c r="P97" s="15"/>
      <c r="Q97" s="15"/>
      <c r="R97" s="15"/>
      <c r="S97" s="15"/>
      <c r="T97" s="15"/>
    </row>
    <row r="98" spans="1:20" ht="19.5" customHeight="1" x14ac:dyDescent="0.35">
      <c r="A98" s="15"/>
      <c r="B98" s="15"/>
      <c r="C98" s="15"/>
      <c r="D98" s="15"/>
      <c r="E98" s="15"/>
      <c r="F98" s="15"/>
      <c r="G98" s="15"/>
      <c r="H98" s="15"/>
      <c r="I98" s="15"/>
      <c r="J98" s="15"/>
      <c r="K98" s="15"/>
      <c r="L98" s="15"/>
      <c r="M98" s="15"/>
      <c r="N98" s="15"/>
      <c r="O98" s="15"/>
      <c r="P98" s="15"/>
      <c r="Q98" s="15"/>
      <c r="R98" s="15"/>
      <c r="S98" s="15"/>
      <c r="T98" s="15"/>
    </row>
    <row r="99" spans="1:20" ht="19.5" customHeight="1" x14ac:dyDescent="0.35">
      <c r="A99" s="15"/>
      <c r="B99" s="15"/>
      <c r="C99" s="15"/>
      <c r="D99" s="15"/>
      <c r="E99" s="15"/>
      <c r="F99" s="15"/>
      <c r="G99" s="15"/>
      <c r="H99" s="15"/>
      <c r="I99" s="15"/>
      <c r="J99" s="15"/>
      <c r="K99" s="15"/>
      <c r="L99" s="15"/>
      <c r="M99" s="15"/>
      <c r="N99" s="15"/>
      <c r="O99" s="15"/>
      <c r="P99" s="15"/>
      <c r="Q99" s="15"/>
      <c r="R99" s="15"/>
      <c r="S99" s="15"/>
      <c r="T99" s="15"/>
    </row>
    <row r="100" spans="1:20" ht="1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5" customHeight="1" x14ac:dyDescent="0.35">
      <c r="A120" s="15"/>
      <c r="B120" s="15"/>
      <c r="C120" s="15"/>
      <c r="D120" s="15"/>
      <c r="E120" s="15"/>
      <c r="F120" s="15"/>
      <c r="G120" s="15"/>
      <c r="H120" s="15"/>
      <c r="I120" s="15"/>
      <c r="J120" s="15"/>
      <c r="K120" s="15"/>
      <c r="L120" s="15"/>
      <c r="M120" s="15"/>
      <c r="N120" s="15"/>
      <c r="O120" s="15"/>
      <c r="P120" s="15"/>
      <c r="Q120" s="15"/>
      <c r="R120" s="15"/>
      <c r="S120" s="15"/>
      <c r="T120" s="15"/>
    </row>
  </sheetData>
  <mergeCells count="22">
    <mergeCell ref="B24:C24"/>
    <mergeCell ref="D24:F24"/>
    <mergeCell ref="G24:L24"/>
    <mergeCell ref="B26:L26"/>
    <mergeCell ref="B28:E28"/>
    <mergeCell ref="F28:I28"/>
    <mergeCell ref="J28:M28"/>
    <mergeCell ref="B17:L17"/>
    <mergeCell ref="B19:E19"/>
    <mergeCell ref="F19:I19"/>
    <mergeCell ref="J19:M19"/>
    <mergeCell ref="B21:L21"/>
    <mergeCell ref="B11:L11"/>
    <mergeCell ref="B14:C14"/>
    <mergeCell ref="B15:C15"/>
    <mergeCell ref="D15:H15"/>
    <mergeCell ref="I15:L15"/>
    <mergeCell ref="B2:L2"/>
    <mergeCell ref="B3:L3"/>
    <mergeCell ref="B4:L4"/>
    <mergeCell ref="B6:L6"/>
    <mergeCell ref="B9:C9"/>
  </mergeCells>
  <dataValidations count="14">
    <dataValidation type="list" sqref="J8" xr:uid="{00000000-0002-0000-0000-000000000000}">
      <formula1>"H,M"</formula1>
      <formula2>0</formula2>
    </dataValidation>
    <dataValidation type="list" sqref="C13" xr:uid="{00000000-0002-0000-0000-000001000000}">
      <formula1>"Menos de 6 meses,6–24 meses,2–4 años,Más de 4 años"</formula1>
      <formula2>0</formula2>
    </dataValidation>
    <dataValidation type="list" sqref="B19" xr:uid="{00000000-0002-0000-0000-000002000000}">
      <formula1>"Hipertrofia pura,Fuerza + Hipertrofia,Recomposición corporal"</formula1>
      <formula2>0</formula2>
    </dataValidation>
    <dataValidation type="list" sqref="F19" xr:uid="{00000000-0002-0000-0000-000003000000}">
      <formula1>"Pérdida de grasa,Fuerza,Movilidad,Ninguno"</formula1>
      <formula2>0</formula2>
    </dataValidation>
    <dataValidation type="list" sqref="J19" xr:uid="{00000000-0002-0000-0000-000004000000}">
      <formula1>"Hombre 5 días,Hombre 3 días,Mujer 5 días"</formula1>
      <formula2>0</formula2>
    </dataValidation>
    <dataValidation type="list" sqref="C23" xr:uid="{00000000-0002-0000-0000-000005000000}">
      <formula1>"5,6,7,8,9"</formula1>
      <formula2>0</formula2>
    </dataValidation>
    <dataValidation type="list" sqref="E23" xr:uid="{00000000-0002-0000-0000-000006000000}">
      <formula1>"Bajo,Medio,Alto"</formula1>
      <formula2>0</formula2>
    </dataValidation>
    <dataValidation type="list" sqref="G23" xr:uid="{00000000-0002-0000-0000-000007000000}">
      <formula1>"Sedentario,Moderado,Físico intenso"</formula1>
      <formula2>0</formula2>
    </dataValidation>
    <dataValidation type="list" sqref="I23" xr:uid="{00000000-0002-0000-0000-000008000000}">
      <formula1>"Mala,Regular,Buena,Óptima"</formula1>
      <formula2>0</formula2>
    </dataValidation>
    <dataValidation type="list" sqref="K23" xr:uid="{00000000-0002-0000-0000-000009000000}">
      <formula1>"Poca &lt;1.5L,Regular 1.5-2L,Buena 2-3L,Óptima 3L+"</formula1>
      <formula2>0</formula2>
    </dataValidation>
    <dataValidation type="list" sqref="M23" xr:uid="{00000000-0002-0000-0000-00000A000000}">
      <formula1>"Baja &lt;1g/kg,Media 1-1.5g/kg,Alta 1.6-2g/kg,Óptima 2g/kg+"</formula1>
      <formula2>0</formula2>
    </dataValidation>
    <dataValidation type="list" sqref="B28" xr:uid="{00000000-0002-0000-0000-00000B000000}">
      <formula1>"3,4,5"</formula1>
      <formula2>0</formula2>
    </dataValidation>
    <dataValidation type="list" sqref="F28" xr:uid="{00000000-0002-0000-0000-00000C000000}">
      <formula1>"45–60 min,60–90 min,90+ min"</formula1>
      <formula2>0</formula2>
    </dataValidation>
    <dataValidation type="list" sqref="J28" xr:uid="{00000000-0002-0000-0000-00000D000000}">
      <formula1>"Gimnasio completo,Solo mancuernas,Barra+discos,Casa básico"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8302A"/>
  </sheetPr>
  <dimension ref="A1:T199"/>
  <sheetViews>
    <sheetView showGridLines="0" zoomScaleNormal="100" workbookViewId="0">
      <selection activeCell="C60" sqref="C60"/>
    </sheetView>
  </sheetViews>
  <sheetFormatPr baseColWidth="10" defaultColWidth="8.6328125" defaultRowHeight="14.5" x14ac:dyDescent="0.35"/>
  <cols>
    <col min="1" max="1" width="2" customWidth="1"/>
    <col min="2" max="2" width="4" customWidth="1"/>
    <col min="3" max="3" width="28" customWidth="1"/>
    <col min="4" max="4" width="18" customWidth="1"/>
    <col min="5" max="5" width="8" customWidth="1"/>
    <col min="6" max="7" width="10" customWidth="1"/>
    <col min="8" max="8" width="8" customWidth="1"/>
    <col min="9" max="9" width="32" customWidth="1"/>
    <col min="10" max="10"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43.5" customHeight="1" x14ac:dyDescent="0.35">
      <c r="A2" s="15"/>
      <c r="B2" s="124" t="s">
        <v>57</v>
      </c>
      <c r="C2" s="124"/>
      <c r="D2" s="124"/>
      <c r="E2" s="124"/>
      <c r="F2" s="124"/>
      <c r="G2" s="124"/>
      <c r="H2" s="124"/>
      <c r="I2" s="124"/>
      <c r="J2" s="124"/>
      <c r="K2" s="124"/>
      <c r="L2" s="124"/>
      <c r="M2" s="124"/>
      <c r="N2" s="124"/>
      <c r="O2" s="15"/>
      <c r="P2" s="15"/>
      <c r="Q2" s="15"/>
      <c r="R2" s="15"/>
      <c r="S2" s="15"/>
      <c r="T2" s="15"/>
    </row>
    <row r="3" spans="1:20" ht="19.5" customHeight="1" x14ac:dyDescent="0.35">
      <c r="A3" s="15"/>
      <c r="B3" s="125" t="s">
        <v>58</v>
      </c>
      <c r="C3" s="125"/>
      <c r="D3" s="125"/>
      <c r="E3" s="125"/>
      <c r="F3" s="125"/>
      <c r="G3" s="125"/>
      <c r="H3" s="125"/>
      <c r="I3" s="125"/>
      <c r="J3" s="125"/>
      <c r="K3" s="125"/>
      <c r="L3" s="125"/>
      <c r="M3" s="125"/>
      <c r="N3" s="125"/>
      <c r="O3" s="15"/>
      <c r="P3" s="15"/>
      <c r="Q3" s="15"/>
      <c r="R3" s="15"/>
      <c r="S3" s="15"/>
      <c r="T3" s="15"/>
    </row>
    <row r="4" spans="1:20" ht="19.5" customHeight="1" x14ac:dyDescent="0.35">
      <c r="A4" s="15"/>
      <c r="B4" s="15"/>
      <c r="C4" s="15"/>
      <c r="D4" s="15"/>
      <c r="E4" s="15"/>
      <c r="F4" s="15"/>
      <c r="G4" s="15"/>
      <c r="H4" s="15"/>
      <c r="I4" s="15"/>
      <c r="J4" s="15"/>
      <c r="K4" s="15"/>
      <c r="L4" s="15"/>
      <c r="M4" s="15"/>
      <c r="N4" s="15"/>
      <c r="O4" s="15"/>
      <c r="P4" s="15"/>
      <c r="Q4" s="15"/>
      <c r="R4" s="15"/>
      <c r="S4" s="15"/>
      <c r="T4" s="15"/>
    </row>
    <row r="5" spans="1:20" ht="21.75" customHeight="1" x14ac:dyDescent="0.35">
      <c r="A5" s="15"/>
      <c r="B5" s="126" t="s">
        <v>59</v>
      </c>
      <c r="C5" s="126"/>
      <c r="D5" s="126"/>
      <c r="E5" s="126"/>
      <c r="F5" s="126"/>
      <c r="G5" s="126"/>
      <c r="H5" s="126"/>
      <c r="I5" s="126"/>
      <c r="J5" s="15"/>
      <c r="K5" s="15"/>
      <c r="L5" s="15"/>
      <c r="M5" s="15"/>
      <c r="N5" s="15"/>
      <c r="O5" s="15"/>
      <c r="P5" s="15"/>
      <c r="Q5" s="15"/>
      <c r="R5" s="15"/>
      <c r="S5" s="15"/>
      <c r="T5" s="15"/>
    </row>
    <row r="6" spans="1:20" ht="19.5" customHeight="1" x14ac:dyDescent="0.35">
      <c r="A6" s="15"/>
      <c r="B6" s="15"/>
      <c r="C6" s="15"/>
      <c r="D6" s="15"/>
      <c r="E6" s="15"/>
      <c r="F6" s="15"/>
      <c r="G6" s="15"/>
      <c r="H6" s="15"/>
      <c r="I6" s="15"/>
      <c r="J6" s="15"/>
      <c r="K6" s="15"/>
      <c r="L6" s="15"/>
      <c r="M6" s="15"/>
      <c r="N6" s="15"/>
      <c r="O6" s="15"/>
      <c r="P6" s="15"/>
      <c r="Q6" s="15"/>
      <c r="R6" s="15"/>
      <c r="S6" s="15"/>
      <c r="T6" s="15"/>
    </row>
    <row r="7" spans="1:20" ht="30" customHeight="1" x14ac:dyDescent="0.35">
      <c r="A7" s="15"/>
      <c r="B7" s="127" t="s">
        <v>60</v>
      </c>
      <c r="C7" s="127"/>
      <c r="D7" s="127"/>
      <c r="E7" s="127"/>
      <c r="F7" s="127"/>
      <c r="G7" s="127"/>
      <c r="H7" s="127"/>
      <c r="I7" s="127"/>
      <c r="J7" s="127"/>
      <c r="K7" s="127"/>
      <c r="L7" s="127"/>
      <c r="M7" s="127"/>
      <c r="N7" s="127"/>
      <c r="O7" s="15"/>
      <c r="P7" s="15"/>
      <c r="Q7" s="15"/>
      <c r="R7" s="15"/>
      <c r="S7" s="15"/>
      <c r="T7" s="15"/>
    </row>
    <row r="8" spans="1:20" ht="18" customHeight="1" x14ac:dyDescent="0.35">
      <c r="A8" s="15"/>
      <c r="B8" s="128" t="s">
        <v>61</v>
      </c>
      <c r="C8" s="128"/>
      <c r="D8" s="128"/>
      <c r="E8" s="128"/>
      <c r="F8" s="128"/>
      <c r="G8" s="128"/>
      <c r="H8" s="128"/>
      <c r="I8" s="128"/>
      <c r="J8" s="128"/>
      <c r="K8" s="128"/>
      <c r="L8" s="128"/>
      <c r="M8" s="128"/>
      <c r="N8" s="128"/>
      <c r="O8" s="15"/>
      <c r="P8" s="15"/>
      <c r="Q8" s="15"/>
      <c r="R8" s="15"/>
      <c r="S8" s="15"/>
      <c r="T8" s="15"/>
    </row>
    <row r="9" spans="1:20" ht="21.75" customHeight="1" x14ac:dyDescent="0.35">
      <c r="A9" s="15"/>
      <c r="B9" s="25" t="s">
        <v>62</v>
      </c>
      <c r="C9" s="25" t="s">
        <v>63</v>
      </c>
      <c r="D9" s="25" t="s">
        <v>64</v>
      </c>
      <c r="E9" s="25" t="s">
        <v>65</v>
      </c>
      <c r="F9" s="25" t="s">
        <v>66</v>
      </c>
      <c r="G9" s="25" t="s">
        <v>67</v>
      </c>
      <c r="H9" s="25" t="s">
        <v>68</v>
      </c>
      <c r="I9" s="25" t="s">
        <v>69</v>
      </c>
      <c r="J9" s="15"/>
      <c r="K9" s="15"/>
      <c r="L9" s="15"/>
      <c r="M9" s="15"/>
      <c r="N9" s="15"/>
      <c r="O9" s="15"/>
      <c r="P9" s="15"/>
      <c r="Q9" s="15"/>
      <c r="R9" s="15"/>
      <c r="S9" s="15"/>
      <c r="T9" s="15"/>
    </row>
    <row r="10" spans="1:20" ht="25.5" customHeight="1" x14ac:dyDescent="0.35">
      <c r="A10" s="15"/>
      <c r="B10" s="26">
        <v>1</v>
      </c>
      <c r="C10" s="27" t="s">
        <v>70</v>
      </c>
      <c r="D10" s="28" t="s">
        <v>71</v>
      </c>
      <c r="E10" s="29" t="s">
        <v>72</v>
      </c>
      <c r="F10" s="30" t="s">
        <v>73</v>
      </c>
      <c r="G10" s="31" t="s">
        <v>74</v>
      </c>
      <c r="H10" s="32" t="s">
        <v>75</v>
      </c>
      <c r="I10" s="33" t="s">
        <v>76</v>
      </c>
      <c r="J10" s="15"/>
      <c r="K10" s="15"/>
      <c r="L10" s="15"/>
      <c r="M10" s="15"/>
      <c r="N10" s="15"/>
      <c r="O10" s="15"/>
      <c r="P10" s="15"/>
      <c r="Q10" s="15"/>
      <c r="R10" s="15"/>
      <c r="S10" s="15"/>
      <c r="T10" s="15"/>
    </row>
    <row r="11" spans="1:20" ht="25.5" customHeight="1" x14ac:dyDescent="0.35">
      <c r="A11" s="15"/>
      <c r="B11" s="34">
        <v>2</v>
      </c>
      <c r="C11" s="35" t="s">
        <v>77</v>
      </c>
      <c r="D11" s="36" t="s">
        <v>78</v>
      </c>
      <c r="E11" s="37" t="s">
        <v>79</v>
      </c>
      <c r="F11" s="38" t="s">
        <v>80</v>
      </c>
      <c r="G11" s="39" t="s">
        <v>81</v>
      </c>
      <c r="H11" s="40" t="s">
        <v>82</v>
      </c>
      <c r="I11" s="41" t="s">
        <v>83</v>
      </c>
      <c r="J11" s="15"/>
      <c r="K11" s="15"/>
      <c r="L11" s="15"/>
      <c r="M11" s="15"/>
      <c r="N11" s="15"/>
      <c r="O11" s="15"/>
      <c r="P11" s="15"/>
      <c r="Q11" s="15"/>
      <c r="R11" s="15"/>
      <c r="S11" s="15"/>
      <c r="T11" s="15"/>
    </row>
    <row r="12" spans="1:20" ht="25.5" customHeight="1" x14ac:dyDescent="0.35">
      <c r="A12" s="15"/>
      <c r="B12" s="26">
        <v>3</v>
      </c>
      <c r="C12" s="27" t="s">
        <v>84</v>
      </c>
      <c r="D12" s="28" t="s">
        <v>85</v>
      </c>
      <c r="E12" s="29" t="s">
        <v>72</v>
      </c>
      <c r="F12" s="30" t="s">
        <v>73</v>
      </c>
      <c r="G12" s="31" t="s">
        <v>86</v>
      </c>
      <c r="H12" s="32" t="s">
        <v>75</v>
      </c>
      <c r="I12" s="33" t="s">
        <v>87</v>
      </c>
      <c r="J12" s="15"/>
      <c r="K12" s="15"/>
      <c r="L12" s="15"/>
      <c r="M12" s="15"/>
      <c r="N12" s="15"/>
      <c r="O12" s="15"/>
      <c r="P12" s="15"/>
      <c r="Q12" s="15"/>
      <c r="R12" s="15"/>
      <c r="S12" s="15"/>
      <c r="T12" s="15"/>
    </row>
    <row r="13" spans="1:20" ht="25.5" customHeight="1" x14ac:dyDescent="0.35">
      <c r="A13" s="15"/>
      <c r="B13" s="34">
        <v>4</v>
      </c>
      <c r="C13" s="35" t="s">
        <v>88</v>
      </c>
      <c r="D13" s="36" t="s">
        <v>89</v>
      </c>
      <c r="E13" s="37" t="s">
        <v>72</v>
      </c>
      <c r="F13" s="38" t="s">
        <v>90</v>
      </c>
      <c r="G13" s="39" t="s">
        <v>91</v>
      </c>
      <c r="H13" s="40" t="s">
        <v>82</v>
      </c>
      <c r="I13" s="41" t="s">
        <v>92</v>
      </c>
      <c r="J13" s="15"/>
      <c r="K13" s="15"/>
      <c r="L13" s="15"/>
      <c r="M13" s="15"/>
      <c r="N13" s="15"/>
      <c r="O13" s="15"/>
      <c r="P13" s="15"/>
      <c r="Q13" s="15"/>
      <c r="R13" s="15"/>
      <c r="S13" s="15"/>
      <c r="T13" s="15"/>
    </row>
    <row r="14" spans="1:20" ht="25.5" customHeight="1" x14ac:dyDescent="0.35">
      <c r="A14" s="15"/>
      <c r="B14" s="26">
        <v>5</v>
      </c>
      <c r="C14" s="27" t="s">
        <v>93</v>
      </c>
      <c r="D14" s="28" t="s">
        <v>94</v>
      </c>
      <c r="E14" s="29" t="s">
        <v>79</v>
      </c>
      <c r="F14" s="30" t="s">
        <v>95</v>
      </c>
      <c r="G14" s="31" t="s">
        <v>96</v>
      </c>
      <c r="H14" s="40" t="s">
        <v>82</v>
      </c>
      <c r="I14" s="33" t="s">
        <v>97</v>
      </c>
      <c r="J14" s="15"/>
      <c r="K14" s="15"/>
      <c r="L14" s="15"/>
      <c r="M14" s="15"/>
      <c r="N14" s="15"/>
      <c r="O14" s="15"/>
      <c r="P14" s="15"/>
      <c r="Q14" s="15"/>
      <c r="R14" s="15"/>
      <c r="S14" s="15"/>
      <c r="T14" s="15"/>
    </row>
    <row r="15" spans="1:20" ht="25.5" customHeight="1" x14ac:dyDescent="0.35">
      <c r="A15" s="15"/>
      <c r="B15" s="34">
        <v>6</v>
      </c>
      <c r="C15" s="35" t="s">
        <v>98</v>
      </c>
      <c r="D15" s="36" t="s">
        <v>99</v>
      </c>
      <c r="E15" s="37" t="s">
        <v>79</v>
      </c>
      <c r="F15" s="38" t="s">
        <v>100</v>
      </c>
      <c r="G15" s="39" t="s">
        <v>101</v>
      </c>
      <c r="H15" s="42" t="s">
        <v>102</v>
      </c>
      <c r="I15" s="41" t="s">
        <v>103</v>
      </c>
      <c r="J15" s="15"/>
      <c r="K15" s="15"/>
      <c r="L15" s="15"/>
      <c r="M15" s="15"/>
      <c r="N15" s="15"/>
      <c r="O15" s="15"/>
      <c r="P15" s="15"/>
      <c r="Q15" s="15"/>
      <c r="R15" s="15"/>
      <c r="S15" s="15"/>
      <c r="T15" s="15"/>
    </row>
    <row r="16" spans="1:20" ht="19.5" customHeight="1" x14ac:dyDescent="0.35">
      <c r="A16" s="15"/>
      <c r="B16" s="129" t="s">
        <v>104</v>
      </c>
      <c r="C16" s="129"/>
      <c r="D16" s="129"/>
      <c r="E16" s="129"/>
      <c r="F16" s="129"/>
      <c r="G16" s="129"/>
      <c r="H16" s="129"/>
      <c r="I16" s="129"/>
      <c r="J16" s="129"/>
      <c r="K16" s="129"/>
      <c r="L16" s="129"/>
      <c r="M16" s="129"/>
      <c r="N16" s="129"/>
      <c r="O16" s="15"/>
      <c r="P16" s="15"/>
      <c r="Q16" s="15"/>
      <c r="R16" s="15"/>
      <c r="S16" s="15"/>
      <c r="T16" s="15"/>
    </row>
    <row r="17" spans="1:20" ht="19.5" customHeight="1" x14ac:dyDescent="0.35">
      <c r="A17" s="15"/>
      <c r="B17" s="15"/>
      <c r="C17" s="15"/>
      <c r="D17" s="15"/>
      <c r="E17" s="15"/>
      <c r="F17" s="15"/>
      <c r="G17" s="15"/>
      <c r="H17" s="15"/>
      <c r="I17" s="15"/>
      <c r="J17" s="15"/>
      <c r="K17" s="15"/>
      <c r="L17" s="15"/>
      <c r="M17" s="15"/>
      <c r="N17" s="15"/>
      <c r="O17" s="15"/>
      <c r="P17" s="15"/>
      <c r="Q17" s="15"/>
      <c r="R17" s="15"/>
      <c r="S17" s="15"/>
      <c r="T17" s="15"/>
    </row>
    <row r="18" spans="1:20" ht="30" customHeight="1" x14ac:dyDescent="0.35">
      <c r="A18" s="15"/>
      <c r="B18" s="130" t="s">
        <v>105</v>
      </c>
      <c r="C18" s="130"/>
      <c r="D18" s="130"/>
      <c r="E18" s="130"/>
      <c r="F18" s="130"/>
      <c r="G18" s="130"/>
      <c r="H18" s="130"/>
      <c r="I18" s="130"/>
      <c r="J18" s="130"/>
      <c r="K18" s="130"/>
      <c r="L18" s="130"/>
      <c r="M18" s="130"/>
      <c r="N18" s="130"/>
      <c r="O18" s="15"/>
      <c r="P18" s="15"/>
      <c r="Q18" s="15"/>
      <c r="R18" s="15"/>
      <c r="S18" s="15"/>
      <c r="T18" s="15"/>
    </row>
    <row r="19" spans="1:20" ht="18" customHeight="1" x14ac:dyDescent="0.35">
      <c r="A19" s="15"/>
      <c r="B19" s="131" t="s">
        <v>61</v>
      </c>
      <c r="C19" s="131"/>
      <c r="D19" s="131"/>
      <c r="E19" s="131"/>
      <c r="F19" s="131"/>
      <c r="G19" s="131"/>
      <c r="H19" s="131"/>
      <c r="I19" s="131"/>
      <c r="J19" s="131"/>
      <c r="K19" s="131"/>
      <c r="L19" s="131"/>
      <c r="M19" s="131"/>
      <c r="N19" s="131"/>
      <c r="O19" s="15"/>
      <c r="P19" s="15"/>
      <c r="Q19" s="15"/>
      <c r="R19" s="15"/>
      <c r="S19" s="15"/>
      <c r="T19" s="15"/>
    </row>
    <row r="20" spans="1:20" ht="21.75" customHeight="1" x14ac:dyDescent="0.35">
      <c r="A20" s="15"/>
      <c r="B20" s="25" t="s">
        <v>62</v>
      </c>
      <c r="C20" s="25" t="s">
        <v>63</v>
      </c>
      <c r="D20" s="25" t="s">
        <v>64</v>
      </c>
      <c r="E20" s="25" t="s">
        <v>65</v>
      </c>
      <c r="F20" s="25" t="s">
        <v>66</v>
      </c>
      <c r="G20" s="25" t="s">
        <v>67</v>
      </c>
      <c r="H20" s="25" t="s">
        <v>68</v>
      </c>
      <c r="I20" s="25" t="s">
        <v>69</v>
      </c>
      <c r="J20" s="15"/>
      <c r="K20" s="15"/>
      <c r="L20" s="15"/>
      <c r="M20" s="15"/>
      <c r="N20" s="15"/>
      <c r="O20" s="15"/>
      <c r="P20" s="15"/>
      <c r="Q20" s="15"/>
      <c r="R20" s="15"/>
      <c r="S20" s="15"/>
      <c r="T20" s="15"/>
    </row>
    <row r="21" spans="1:20" ht="25.5" customHeight="1" x14ac:dyDescent="0.35">
      <c r="A21" s="15"/>
      <c r="B21" s="26">
        <v>1</v>
      </c>
      <c r="C21" s="27" t="s">
        <v>106</v>
      </c>
      <c r="D21" s="28" t="s">
        <v>107</v>
      </c>
      <c r="E21" s="29" t="s">
        <v>72</v>
      </c>
      <c r="F21" s="30" t="s">
        <v>73</v>
      </c>
      <c r="G21" s="31" t="s">
        <v>86</v>
      </c>
      <c r="H21" s="32" t="s">
        <v>75</v>
      </c>
      <c r="I21" s="33" t="s">
        <v>108</v>
      </c>
      <c r="J21" s="15"/>
      <c r="K21" s="15"/>
      <c r="L21" s="15"/>
      <c r="M21" s="15"/>
      <c r="N21" s="15"/>
      <c r="O21" s="15"/>
      <c r="P21" s="15"/>
      <c r="Q21" s="15"/>
      <c r="R21" s="15"/>
      <c r="S21" s="15"/>
      <c r="T21" s="15"/>
    </row>
    <row r="22" spans="1:20" ht="25.5" customHeight="1" x14ac:dyDescent="0.35">
      <c r="A22" s="15"/>
      <c r="B22" s="34">
        <v>2</v>
      </c>
      <c r="C22" s="35" t="s">
        <v>109</v>
      </c>
      <c r="D22" s="36" t="s">
        <v>110</v>
      </c>
      <c r="E22" s="37" t="s">
        <v>72</v>
      </c>
      <c r="F22" s="38" t="s">
        <v>73</v>
      </c>
      <c r="G22" s="39" t="s">
        <v>74</v>
      </c>
      <c r="H22" s="32" t="s">
        <v>75</v>
      </c>
      <c r="I22" s="41" t="s">
        <v>111</v>
      </c>
      <c r="J22" s="15"/>
      <c r="K22" s="15"/>
      <c r="L22" s="15"/>
      <c r="M22" s="15"/>
      <c r="N22" s="15"/>
      <c r="O22" s="15"/>
      <c r="P22" s="15"/>
      <c r="Q22" s="15"/>
      <c r="R22" s="15"/>
      <c r="S22" s="15"/>
      <c r="T22" s="15"/>
    </row>
    <row r="23" spans="1:20" ht="25.5" customHeight="1" x14ac:dyDescent="0.35">
      <c r="A23" s="15"/>
      <c r="B23" s="26">
        <v>3</v>
      </c>
      <c r="C23" s="27" t="s">
        <v>112</v>
      </c>
      <c r="D23" s="28" t="s">
        <v>113</v>
      </c>
      <c r="E23" s="29" t="s">
        <v>79</v>
      </c>
      <c r="F23" s="30" t="s">
        <v>100</v>
      </c>
      <c r="G23" s="31" t="s">
        <v>101</v>
      </c>
      <c r="H23" s="40" t="s">
        <v>82</v>
      </c>
      <c r="I23" s="33" t="s">
        <v>114</v>
      </c>
      <c r="J23" s="15"/>
      <c r="K23" s="15"/>
      <c r="L23" s="15"/>
      <c r="M23" s="15"/>
      <c r="N23" s="15"/>
      <c r="O23" s="15"/>
      <c r="P23" s="15"/>
      <c r="Q23" s="15"/>
      <c r="R23" s="15"/>
      <c r="S23" s="15"/>
      <c r="T23" s="15"/>
    </row>
    <row r="24" spans="1:20" ht="25.5" customHeight="1" x14ac:dyDescent="0.35">
      <c r="A24" s="15"/>
      <c r="B24" s="34">
        <v>4</v>
      </c>
      <c r="C24" s="35" t="s">
        <v>115</v>
      </c>
      <c r="D24" s="36" t="s">
        <v>116</v>
      </c>
      <c r="E24" s="37" t="s">
        <v>79</v>
      </c>
      <c r="F24" s="38" t="s">
        <v>80</v>
      </c>
      <c r="G24" s="39" t="s">
        <v>96</v>
      </c>
      <c r="H24" s="40" t="s">
        <v>82</v>
      </c>
      <c r="I24" s="41" t="s">
        <v>117</v>
      </c>
      <c r="J24" s="15"/>
      <c r="K24" s="15"/>
      <c r="L24" s="15"/>
      <c r="M24" s="15"/>
      <c r="N24" s="15"/>
      <c r="O24" s="15"/>
      <c r="P24" s="15"/>
      <c r="Q24" s="15"/>
      <c r="R24" s="15"/>
      <c r="S24" s="15"/>
      <c r="T24" s="15"/>
    </row>
    <row r="25" spans="1:20" ht="25.5" customHeight="1" x14ac:dyDescent="0.35">
      <c r="A25" s="15"/>
      <c r="B25" s="26">
        <v>5</v>
      </c>
      <c r="C25" s="27" t="s">
        <v>118</v>
      </c>
      <c r="D25" s="28" t="s">
        <v>119</v>
      </c>
      <c r="E25" s="29" t="s">
        <v>79</v>
      </c>
      <c r="F25" s="30" t="s">
        <v>95</v>
      </c>
      <c r="G25" s="31" t="s">
        <v>96</v>
      </c>
      <c r="H25" s="40" t="s">
        <v>82</v>
      </c>
      <c r="I25" s="33" t="s">
        <v>120</v>
      </c>
      <c r="J25" s="15"/>
      <c r="K25" s="15"/>
      <c r="L25" s="15"/>
      <c r="M25" s="15"/>
      <c r="N25" s="15"/>
      <c r="O25" s="15"/>
      <c r="P25" s="15"/>
      <c r="Q25" s="15"/>
      <c r="R25" s="15"/>
      <c r="S25" s="15"/>
      <c r="T25" s="15"/>
    </row>
    <row r="26" spans="1:20" ht="25.5" customHeight="1" x14ac:dyDescent="0.35">
      <c r="A26" s="15"/>
      <c r="B26" s="34">
        <v>6</v>
      </c>
      <c r="C26" s="35" t="s">
        <v>121</v>
      </c>
      <c r="D26" s="36" t="s">
        <v>122</v>
      </c>
      <c r="E26" s="37" t="s">
        <v>79</v>
      </c>
      <c r="F26" s="38" t="s">
        <v>95</v>
      </c>
      <c r="G26" s="39" t="s">
        <v>96</v>
      </c>
      <c r="H26" s="40" t="s">
        <v>82</v>
      </c>
      <c r="I26" s="41" t="s">
        <v>123</v>
      </c>
      <c r="J26" s="15"/>
      <c r="K26" s="15"/>
      <c r="L26" s="15"/>
      <c r="M26" s="15"/>
      <c r="N26" s="15"/>
      <c r="O26" s="15"/>
      <c r="P26" s="15"/>
      <c r="Q26" s="15"/>
      <c r="R26" s="15"/>
      <c r="S26" s="15"/>
      <c r="T26" s="15"/>
    </row>
    <row r="27" spans="1:20" ht="19.5" customHeight="1" x14ac:dyDescent="0.35">
      <c r="A27" s="15"/>
      <c r="B27" s="129" t="s">
        <v>104</v>
      </c>
      <c r="C27" s="129"/>
      <c r="D27" s="129"/>
      <c r="E27" s="129"/>
      <c r="F27" s="129"/>
      <c r="G27" s="129"/>
      <c r="H27" s="129"/>
      <c r="I27" s="129"/>
      <c r="J27" s="129"/>
      <c r="K27" s="129"/>
      <c r="L27" s="129"/>
      <c r="M27" s="129"/>
      <c r="N27" s="129"/>
      <c r="O27" s="15"/>
      <c r="P27" s="15"/>
      <c r="Q27" s="15"/>
      <c r="R27" s="15"/>
      <c r="S27" s="15"/>
      <c r="T27" s="15"/>
    </row>
    <row r="28" spans="1:20" ht="19.5" customHeight="1" x14ac:dyDescent="0.35">
      <c r="A28" s="15"/>
      <c r="B28" s="15"/>
      <c r="C28" s="15"/>
      <c r="D28" s="15"/>
      <c r="E28" s="15"/>
      <c r="F28" s="15"/>
      <c r="G28" s="15"/>
      <c r="H28" s="15"/>
      <c r="I28" s="15"/>
      <c r="J28" s="15"/>
      <c r="K28" s="15"/>
      <c r="L28" s="15"/>
      <c r="M28" s="15"/>
      <c r="N28" s="15"/>
      <c r="O28" s="15"/>
      <c r="P28" s="15"/>
      <c r="Q28" s="15"/>
      <c r="R28" s="15"/>
      <c r="S28" s="15"/>
      <c r="T28" s="15"/>
    </row>
    <row r="29" spans="1:20" ht="30" customHeight="1" x14ac:dyDescent="0.35">
      <c r="A29" s="15"/>
      <c r="B29" s="132" t="s">
        <v>124</v>
      </c>
      <c r="C29" s="132"/>
      <c r="D29" s="132"/>
      <c r="E29" s="132"/>
      <c r="F29" s="132"/>
      <c r="G29" s="132"/>
      <c r="H29" s="132"/>
      <c r="I29" s="132"/>
      <c r="J29" s="132"/>
      <c r="K29" s="132"/>
      <c r="L29" s="132"/>
      <c r="M29" s="132"/>
      <c r="N29" s="132"/>
      <c r="O29" s="15"/>
      <c r="P29" s="15"/>
      <c r="Q29" s="15"/>
      <c r="R29" s="15"/>
      <c r="S29" s="15"/>
      <c r="T29" s="15"/>
    </row>
    <row r="30" spans="1:20" ht="18" customHeight="1" x14ac:dyDescent="0.35">
      <c r="A30" s="15"/>
      <c r="B30" s="133" t="s">
        <v>61</v>
      </c>
      <c r="C30" s="133"/>
      <c r="D30" s="133"/>
      <c r="E30" s="133"/>
      <c r="F30" s="133"/>
      <c r="G30" s="133"/>
      <c r="H30" s="133"/>
      <c r="I30" s="133"/>
      <c r="J30" s="133"/>
      <c r="K30" s="133"/>
      <c r="L30" s="133"/>
      <c r="M30" s="133"/>
      <c r="N30" s="133"/>
      <c r="O30" s="15"/>
      <c r="P30" s="15"/>
      <c r="Q30" s="15"/>
      <c r="R30" s="15"/>
      <c r="S30" s="15"/>
      <c r="T30" s="15"/>
    </row>
    <row r="31" spans="1:20" ht="21.75" customHeight="1" x14ac:dyDescent="0.35">
      <c r="A31" s="15"/>
      <c r="B31" s="25" t="s">
        <v>62</v>
      </c>
      <c r="C31" s="25" t="s">
        <v>63</v>
      </c>
      <c r="D31" s="25" t="s">
        <v>64</v>
      </c>
      <c r="E31" s="25" t="s">
        <v>65</v>
      </c>
      <c r="F31" s="25" t="s">
        <v>66</v>
      </c>
      <c r="G31" s="25" t="s">
        <v>67</v>
      </c>
      <c r="H31" s="25" t="s">
        <v>68</v>
      </c>
      <c r="I31" s="25" t="s">
        <v>69</v>
      </c>
      <c r="J31" s="15"/>
      <c r="K31" s="15"/>
      <c r="L31" s="15"/>
      <c r="M31" s="15"/>
      <c r="N31" s="15"/>
      <c r="O31" s="15"/>
      <c r="P31" s="15"/>
      <c r="Q31" s="15"/>
      <c r="R31" s="15"/>
      <c r="S31" s="15"/>
      <c r="T31" s="15"/>
    </row>
    <row r="32" spans="1:20" ht="25.5" customHeight="1" x14ac:dyDescent="0.35">
      <c r="A32" s="15"/>
      <c r="B32" s="26">
        <v>1</v>
      </c>
      <c r="C32" s="27" t="s">
        <v>125</v>
      </c>
      <c r="D32" s="28" t="s">
        <v>126</v>
      </c>
      <c r="E32" s="29" t="s">
        <v>127</v>
      </c>
      <c r="F32" s="30" t="s">
        <v>73</v>
      </c>
      <c r="G32" s="31" t="s">
        <v>128</v>
      </c>
      <c r="H32" s="32" t="s">
        <v>75</v>
      </c>
      <c r="I32" s="33" t="s">
        <v>129</v>
      </c>
      <c r="J32" s="15"/>
      <c r="K32" s="15"/>
      <c r="L32" s="15"/>
      <c r="M32" s="15"/>
      <c r="N32" s="15"/>
      <c r="O32" s="15"/>
      <c r="P32" s="15"/>
      <c r="Q32" s="15"/>
      <c r="R32" s="15"/>
      <c r="S32" s="15"/>
      <c r="T32" s="15"/>
    </row>
    <row r="33" spans="1:20" ht="25.5" customHeight="1" x14ac:dyDescent="0.35">
      <c r="A33" s="15"/>
      <c r="B33" s="34">
        <v>2</v>
      </c>
      <c r="C33" s="35" t="s">
        <v>130</v>
      </c>
      <c r="D33" s="36" t="s">
        <v>131</v>
      </c>
      <c r="E33" s="37" t="s">
        <v>72</v>
      </c>
      <c r="F33" s="38" t="s">
        <v>100</v>
      </c>
      <c r="G33" s="39" t="s">
        <v>74</v>
      </c>
      <c r="H33" s="32" t="s">
        <v>75</v>
      </c>
      <c r="I33" s="41" t="s">
        <v>132</v>
      </c>
      <c r="J33" s="15"/>
      <c r="K33" s="15"/>
      <c r="L33" s="15"/>
      <c r="M33" s="15"/>
      <c r="N33" s="15"/>
      <c r="O33" s="15"/>
      <c r="P33" s="15"/>
      <c r="Q33" s="15"/>
      <c r="R33" s="15"/>
      <c r="S33" s="15"/>
      <c r="T33" s="15"/>
    </row>
    <row r="34" spans="1:20" ht="25.5" customHeight="1" x14ac:dyDescent="0.35">
      <c r="A34" s="15"/>
      <c r="B34" s="26">
        <v>3</v>
      </c>
      <c r="C34" s="27" t="s">
        <v>133</v>
      </c>
      <c r="D34" s="28" t="s">
        <v>134</v>
      </c>
      <c r="E34" s="29" t="s">
        <v>79</v>
      </c>
      <c r="F34" s="30" t="s">
        <v>80</v>
      </c>
      <c r="G34" s="31" t="s">
        <v>96</v>
      </c>
      <c r="H34" s="40" t="s">
        <v>82</v>
      </c>
      <c r="I34" s="33" t="s">
        <v>135</v>
      </c>
      <c r="J34" s="15"/>
      <c r="K34" s="15"/>
      <c r="L34" s="15"/>
      <c r="M34" s="15"/>
      <c r="N34" s="15"/>
      <c r="O34" s="15"/>
      <c r="P34" s="15"/>
      <c r="Q34" s="15"/>
      <c r="R34" s="15"/>
      <c r="S34" s="15"/>
      <c r="T34" s="15"/>
    </row>
    <row r="35" spans="1:20" ht="25.5" customHeight="1" x14ac:dyDescent="0.35">
      <c r="A35" s="15"/>
      <c r="B35" s="34">
        <v>4</v>
      </c>
      <c r="C35" s="35" t="s">
        <v>136</v>
      </c>
      <c r="D35" s="36" t="s">
        <v>137</v>
      </c>
      <c r="E35" s="37" t="s">
        <v>79</v>
      </c>
      <c r="F35" s="38" t="s">
        <v>95</v>
      </c>
      <c r="G35" s="39" t="s">
        <v>81</v>
      </c>
      <c r="H35" s="40" t="s">
        <v>82</v>
      </c>
      <c r="I35" s="41" t="s">
        <v>138</v>
      </c>
      <c r="J35" s="15"/>
      <c r="K35" s="15"/>
      <c r="L35" s="15"/>
      <c r="M35" s="15"/>
      <c r="N35" s="15"/>
      <c r="O35" s="15"/>
      <c r="P35" s="15"/>
      <c r="Q35" s="15"/>
      <c r="R35" s="15"/>
      <c r="S35" s="15"/>
      <c r="T35" s="15"/>
    </row>
    <row r="36" spans="1:20" ht="25.5" customHeight="1" x14ac:dyDescent="0.35">
      <c r="A36" s="15"/>
      <c r="B36" s="26">
        <v>5</v>
      </c>
      <c r="C36" s="27" t="s">
        <v>139</v>
      </c>
      <c r="D36" s="28" t="s">
        <v>140</v>
      </c>
      <c r="E36" s="29" t="s">
        <v>79</v>
      </c>
      <c r="F36" s="30" t="s">
        <v>100</v>
      </c>
      <c r="G36" s="31" t="s">
        <v>86</v>
      </c>
      <c r="H36" s="32" t="s">
        <v>75</v>
      </c>
      <c r="I36" s="33" t="s">
        <v>141</v>
      </c>
      <c r="J36" s="15"/>
      <c r="K36" s="15"/>
      <c r="L36" s="15"/>
      <c r="M36" s="15"/>
      <c r="N36" s="15"/>
      <c r="O36" s="15"/>
      <c r="P36" s="15"/>
      <c r="Q36" s="15"/>
      <c r="R36" s="15"/>
      <c r="S36" s="15"/>
      <c r="T36" s="15"/>
    </row>
    <row r="37" spans="1:20" ht="25.5" customHeight="1" x14ac:dyDescent="0.35">
      <c r="A37" s="15"/>
      <c r="B37" s="34">
        <v>6</v>
      </c>
      <c r="C37" s="35" t="s">
        <v>142</v>
      </c>
      <c r="D37" s="36" t="s">
        <v>143</v>
      </c>
      <c r="E37" s="37" t="s">
        <v>127</v>
      </c>
      <c r="F37" s="38" t="s">
        <v>80</v>
      </c>
      <c r="G37" s="39" t="s">
        <v>91</v>
      </c>
      <c r="H37" s="40" t="s">
        <v>82</v>
      </c>
      <c r="I37" s="41" t="s">
        <v>144</v>
      </c>
      <c r="J37" s="15"/>
      <c r="K37" s="15"/>
      <c r="L37" s="15"/>
      <c r="M37" s="15"/>
      <c r="N37" s="15"/>
      <c r="O37" s="15"/>
      <c r="P37" s="15"/>
      <c r="Q37" s="15"/>
      <c r="R37" s="15"/>
      <c r="S37" s="15"/>
      <c r="T37" s="15"/>
    </row>
    <row r="38" spans="1:20" ht="25.5" customHeight="1" x14ac:dyDescent="0.35">
      <c r="A38" s="15"/>
      <c r="B38" s="26">
        <v>7</v>
      </c>
      <c r="C38" s="27" t="s">
        <v>145</v>
      </c>
      <c r="D38" s="28" t="s">
        <v>146</v>
      </c>
      <c r="E38" s="29" t="s">
        <v>79</v>
      </c>
      <c r="F38" s="30" t="s">
        <v>147</v>
      </c>
      <c r="G38" s="31" t="s">
        <v>148</v>
      </c>
      <c r="H38" s="40" t="s">
        <v>82</v>
      </c>
      <c r="I38" s="33" t="s">
        <v>149</v>
      </c>
      <c r="J38" s="15"/>
      <c r="K38" s="15"/>
      <c r="L38" s="15"/>
      <c r="M38" s="15"/>
      <c r="N38" s="15"/>
      <c r="O38" s="15"/>
      <c r="P38" s="15"/>
      <c r="Q38" s="15"/>
      <c r="R38" s="15"/>
      <c r="S38" s="15"/>
      <c r="T38" s="15"/>
    </row>
    <row r="39" spans="1:20" ht="19.5" customHeight="1" x14ac:dyDescent="0.35">
      <c r="A39" s="15"/>
      <c r="B39" s="129" t="s">
        <v>104</v>
      </c>
      <c r="C39" s="129"/>
      <c r="D39" s="129"/>
      <c r="E39" s="129"/>
      <c r="F39" s="129"/>
      <c r="G39" s="129"/>
      <c r="H39" s="129"/>
      <c r="I39" s="129"/>
      <c r="J39" s="129"/>
      <c r="K39" s="129"/>
      <c r="L39" s="129"/>
      <c r="M39" s="129"/>
      <c r="N39" s="129"/>
      <c r="O39" s="15"/>
      <c r="P39" s="15"/>
      <c r="Q39" s="15"/>
      <c r="R39" s="15"/>
      <c r="S39" s="15"/>
      <c r="T39" s="15"/>
    </row>
    <row r="40" spans="1:20" ht="19.5" customHeight="1" x14ac:dyDescent="0.35">
      <c r="A40" s="15"/>
      <c r="B40" s="15"/>
      <c r="C40" s="15"/>
      <c r="D40" s="15"/>
      <c r="E40" s="15"/>
      <c r="F40" s="15"/>
      <c r="G40" s="15"/>
      <c r="H40" s="15"/>
      <c r="I40" s="15"/>
      <c r="J40" s="15"/>
      <c r="K40" s="15"/>
      <c r="L40" s="15"/>
      <c r="M40" s="15"/>
      <c r="N40" s="15"/>
      <c r="O40" s="15"/>
      <c r="P40" s="15"/>
      <c r="Q40" s="15"/>
      <c r="R40" s="15"/>
      <c r="S40" s="15"/>
      <c r="T40" s="15"/>
    </row>
    <row r="41" spans="1:20" ht="24" customHeight="1" x14ac:dyDescent="0.35">
      <c r="A41" s="15"/>
      <c r="B41" s="134" t="s">
        <v>150</v>
      </c>
      <c r="C41" s="134"/>
      <c r="D41" s="134"/>
      <c r="E41" s="134"/>
      <c r="F41" s="134"/>
      <c r="G41" s="134"/>
      <c r="H41" s="134"/>
      <c r="I41" s="134"/>
      <c r="J41" s="15"/>
      <c r="K41" s="15"/>
      <c r="L41" s="15"/>
      <c r="M41" s="15"/>
      <c r="N41" s="15"/>
      <c r="O41" s="15"/>
      <c r="P41" s="15"/>
      <c r="Q41" s="15"/>
      <c r="R41" s="15"/>
      <c r="S41" s="15"/>
      <c r="T41" s="15"/>
    </row>
    <row r="42" spans="1:20" ht="19.5" customHeight="1" x14ac:dyDescent="0.35">
      <c r="A42" s="15"/>
      <c r="B42" s="15"/>
      <c r="C42" s="15"/>
      <c r="D42" s="15"/>
      <c r="E42" s="15"/>
      <c r="F42" s="15"/>
      <c r="G42" s="15"/>
      <c r="H42" s="15"/>
      <c r="I42" s="15"/>
      <c r="J42" s="15"/>
      <c r="K42" s="15"/>
      <c r="L42" s="15"/>
      <c r="M42" s="15"/>
      <c r="N42" s="15"/>
      <c r="O42" s="15"/>
      <c r="P42" s="15"/>
      <c r="Q42" s="15"/>
      <c r="R42" s="15"/>
      <c r="S42" s="15"/>
      <c r="T42" s="15"/>
    </row>
    <row r="43" spans="1:20" ht="30" customHeight="1" x14ac:dyDescent="0.35">
      <c r="A43" s="15"/>
      <c r="B43" s="135" t="s">
        <v>151</v>
      </c>
      <c r="C43" s="135"/>
      <c r="D43" s="135"/>
      <c r="E43" s="135"/>
      <c r="F43" s="135"/>
      <c r="G43" s="135"/>
      <c r="H43" s="135"/>
      <c r="I43" s="135"/>
      <c r="J43" s="135"/>
      <c r="K43" s="135"/>
      <c r="L43" s="135"/>
      <c r="M43" s="135"/>
      <c r="N43" s="135"/>
      <c r="O43" s="15"/>
      <c r="P43" s="15"/>
      <c r="Q43" s="15"/>
      <c r="R43" s="15"/>
      <c r="S43" s="15"/>
      <c r="T43" s="15"/>
    </row>
    <row r="44" spans="1:20" ht="18" customHeight="1" x14ac:dyDescent="0.35">
      <c r="A44" s="15"/>
      <c r="B44" s="136" t="s">
        <v>152</v>
      </c>
      <c r="C44" s="136"/>
      <c r="D44" s="136"/>
      <c r="E44" s="136"/>
      <c r="F44" s="136"/>
      <c r="G44" s="136"/>
      <c r="H44" s="136"/>
      <c r="I44" s="136"/>
      <c r="J44" s="136"/>
      <c r="K44" s="136"/>
      <c r="L44" s="136"/>
      <c r="M44" s="136"/>
      <c r="N44" s="136"/>
      <c r="O44" s="15"/>
      <c r="P44" s="15"/>
      <c r="Q44" s="15"/>
      <c r="R44" s="15"/>
      <c r="S44" s="15"/>
      <c r="T44" s="15"/>
    </row>
    <row r="45" spans="1:20" ht="21.75" customHeight="1" x14ac:dyDescent="0.35">
      <c r="A45" s="15"/>
      <c r="B45" s="25" t="s">
        <v>62</v>
      </c>
      <c r="C45" s="25" t="s">
        <v>63</v>
      </c>
      <c r="D45" s="25" t="s">
        <v>64</v>
      </c>
      <c r="E45" s="25" t="s">
        <v>65</v>
      </c>
      <c r="F45" s="25" t="s">
        <v>66</v>
      </c>
      <c r="G45" s="25" t="s">
        <v>67</v>
      </c>
      <c r="H45" s="25" t="s">
        <v>68</v>
      </c>
      <c r="I45" s="25" t="s">
        <v>69</v>
      </c>
      <c r="J45" s="15"/>
      <c r="K45" s="15"/>
      <c r="L45" s="15"/>
      <c r="M45" s="15"/>
      <c r="N45" s="15"/>
      <c r="O45" s="15"/>
      <c r="P45" s="15"/>
      <c r="Q45" s="15"/>
      <c r="R45" s="15"/>
      <c r="S45" s="15"/>
      <c r="T45" s="15"/>
    </row>
    <row r="46" spans="1:20" ht="25.5" customHeight="1" x14ac:dyDescent="0.35">
      <c r="A46" s="15"/>
      <c r="B46" s="26">
        <v>1</v>
      </c>
      <c r="C46" s="27" t="s">
        <v>153</v>
      </c>
      <c r="D46" s="28" t="s">
        <v>71</v>
      </c>
      <c r="E46" s="29" t="s">
        <v>79</v>
      </c>
      <c r="F46" s="30" t="s">
        <v>100</v>
      </c>
      <c r="G46" s="31" t="s">
        <v>86</v>
      </c>
      <c r="H46" s="42" t="s">
        <v>102</v>
      </c>
      <c r="I46" s="33" t="s">
        <v>154</v>
      </c>
      <c r="J46" s="15"/>
      <c r="K46" s="15"/>
      <c r="L46" s="15"/>
      <c r="M46" s="15"/>
      <c r="N46" s="15"/>
      <c r="O46" s="15"/>
      <c r="P46" s="15"/>
      <c r="Q46" s="15"/>
      <c r="R46" s="15"/>
      <c r="S46" s="15"/>
      <c r="T46" s="15"/>
    </row>
    <row r="47" spans="1:20" ht="25.5" customHeight="1" x14ac:dyDescent="0.35">
      <c r="A47" s="15"/>
      <c r="B47" s="34">
        <v>2</v>
      </c>
      <c r="C47" s="35" t="s">
        <v>155</v>
      </c>
      <c r="D47" s="36" t="s">
        <v>78</v>
      </c>
      <c r="E47" s="37" t="s">
        <v>79</v>
      </c>
      <c r="F47" s="38" t="s">
        <v>80</v>
      </c>
      <c r="G47" s="39" t="s">
        <v>96</v>
      </c>
      <c r="H47" s="40" t="s">
        <v>82</v>
      </c>
      <c r="I47" s="41" t="s">
        <v>156</v>
      </c>
      <c r="J47" s="15"/>
      <c r="K47" s="15"/>
      <c r="L47" s="15"/>
      <c r="M47" s="15"/>
      <c r="N47" s="15"/>
      <c r="O47" s="15"/>
      <c r="P47" s="15"/>
      <c r="Q47" s="15"/>
      <c r="R47" s="15"/>
      <c r="S47" s="15"/>
      <c r="T47" s="15"/>
    </row>
    <row r="48" spans="1:20" ht="25.5" customHeight="1" x14ac:dyDescent="0.35">
      <c r="A48" s="15"/>
      <c r="B48" s="26">
        <v>3</v>
      </c>
      <c r="C48" s="27" t="s">
        <v>157</v>
      </c>
      <c r="D48" s="28" t="s">
        <v>107</v>
      </c>
      <c r="E48" s="29" t="s">
        <v>79</v>
      </c>
      <c r="F48" s="30" t="s">
        <v>158</v>
      </c>
      <c r="G48" s="31" t="s">
        <v>86</v>
      </c>
      <c r="H48" s="32" t="s">
        <v>75</v>
      </c>
      <c r="I48" s="33" t="s">
        <v>159</v>
      </c>
      <c r="J48" s="15"/>
      <c r="K48" s="15"/>
      <c r="L48" s="15"/>
      <c r="M48" s="15"/>
      <c r="N48" s="15"/>
      <c r="O48" s="15"/>
      <c r="P48" s="15"/>
      <c r="Q48" s="15"/>
      <c r="R48" s="15"/>
      <c r="S48" s="15"/>
      <c r="T48" s="15"/>
    </row>
    <row r="49" spans="1:20" ht="25.5" customHeight="1" x14ac:dyDescent="0.35">
      <c r="A49" s="15"/>
      <c r="B49" s="34">
        <v>4</v>
      </c>
      <c r="C49" s="35" t="s">
        <v>160</v>
      </c>
      <c r="D49" s="36" t="s">
        <v>161</v>
      </c>
      <c r="E49" s="37" t="s">
        <v>79</v>
      </c>
      <c r="F49" s="38" t="s">
        <v>100</v>
      </c>
      <c r="G49" s="39" t="s">
        <v>101</v>
      </c>
      <c r="H49" s="40" t="s">
        <v>82</v>
      </c>
      <c r="I49" s="41" t="s">
        <v>162</v>
      </c>
      <c r="J49" s="15"/>
      <c r="K49" s="15"/>
      <c r="L49" s="15"/>
      <c r="M49" s="15"/>
      <c r="N49" s="15"/>
      <c r="O49" s="15"/>
      <c r="P49" s="15"/>
      <c r="Q49" s="15"/>
      <c r="R49" s="15"/>
      <c r="S49" s="15"/>
      <c r="T49" s="15"/>
    </row>
    <row r="50" spans="1:20" ht="25.5" customHeight="1" x14ac:dyDescent="0.35">
      <c r="A50" s="15"/>
      <c r="B50" s="26">
        <v>5</v>
      </c>
      <c r="C50" s="27" t="s">
        <v>84</v>
      </c>
      <c r="D50" s="28" t="s">
        <v>163</v>
      </c>
      <c r="E50" s="29" t="s">
        <v>79</v>
      </c>
      <c r="F50" s="30" t="s">
        <v>100</v>
      </c>
      <c r="G50" s="31" t="s">
        <v>86</v>
      </c>
      <c r="H50" s="40" t="s">
        <v>82</v>
      </c>
      <c r="I50" s="33" t="s">
        <v>164</v>
      </c>
      <c r="J50" s="15"/>
      <c r="K50" s="15"/>
      <c r="L50" s="15"/>
      <c r="M50" s="15"/>
      <c r="N50" s="15"/>
      <c r="O50" s="15"/>
      <c r="P50" s="15"/>
      <c r="Q50" s="15"/>
      <c r="R50" s="15"/>
      <c r="S50" s="15"/>
      <c r="T50" s="15"/>
    </row>
    <row r="51" spans="1:20" ht="25.5" customHeight="1" x14ac:dyDescent="0.35">
      <c r="A51" s="15"/>
      <c r="B51" s="34">
        <v>6</v>
      </c>
      <c r="C51" s="35" t="s">
        <v>88</v>
      </c>
      <c r="D51" s="36" t="s">
        <v>89</v>
      </c>
      <c r="E51" s="37" t="s">
        <v>79</v>
      </c>
      <c r="F51" s="38" t="s">
        <v>147</v>
      </c>
      <c r="G51" s="39" t="s">
        <v>148</v>
      </c>
      <c r="H51" s="40" t="s">
        <v>82</v>
      </c>
      <c r="I51" s="41" t="s">
        <v>165</v>
      </c>
      <c r="J51" s="15"/>
      <c r="K51" s="15"/>
      <c r="L51" s="15"/>
      <c r="M51" s="15"/>
      <c r="N51" s="15"/>
      <c r="O51" s="15"/>
      <c r="P51" s="15"/>
      <c r="Q51" s="15"/>
      <c r="R51" s="15"/>
      <c r="S51" s="15"/>
      <c r="T51" s="15"/>
    </row>
    <row r="52" spans="1:20" ht="19.5" customHeight="1" x14ac:dyDescent="0.35">
      <c r="A52" s="15"/>
      <c r="B52" s="129" t="s">
        <v>104</v>
      </c>
      <c r="C52" s="129"/>
      <c r="D52" s="129"/>
      <c r="E52" s="129"/>
      <c r="F52" s="129"/>
      <c r="G52" s="129"/>
      <c r="H52" s="129"/>
      <c r="I52" s="129"/>
      <c r="J52" s="129"/>
      <c r="K52" s="129"/>
      <c r="L52" s="129"/>
      <c r="M52" s="129"/>
      <c r="N52" s="129"/>
      <c r="O52" s="15"/>
      <c r="P52" s="15"/>
      <c r="Q52" s="15"/>
      <c r="R52" s="15"/>
      <c r="S52" s="15"/>
      <c r="T52" s="15"/>
    </row>
    <row r="53" spans="1:20" ht="19.5" customHeight="1" x14ac:dyDescent="0.35">
      <c r="A53" s="15"/>
      <c r="B53" s="15"/>
      <c r="C53" s="15"/>
      <c r="D53" s="15"/>
      <c r="E53" s="15"/>
      <c r="F53" s="15"/>
      <c r="G53" s="15"/>
      <c r="H53" s="15"/>
      <c r="I53" s="15"/>
      <c r="J53" s="15"/>
      <c r="K53" s="15"/>
      <c r="L53" s="15"/>
      <c r="M53" s="15"/>
      <c r="N53" s="15"/>
      <c r="O53" s="15"/>
      <c r="P53" s="15"/>
      <c r="Q53" s="15"/>
      <c r="R53" s="15"/>
      <c r="S53" s="15"/>
      <c r="T53" s="15"/>
    </row>
    <row r="54" spans="1:20" ht="30" customHeight="1" x14ac:dyDescent="0.35">
      <c r="A54" s="15"/>
      <c r="B54" s="137" t="s">
        <v>166</v>
      </c>
      <c r="C54" s="137"/>
      <c r="D54" s="137"/>
      <c r="E54" s="137"/>
      <c r="F54" s="137"/>
      <c r="G54" s="137"/>
      <c r="H54" s="137"/>
      <c r="I54" s="137"/>
      <c r="J54" s="137"/>
      <c r="K54" s="137"/>
      <c r="L54" s="137"/>
      <c r="M54" s="137"/>
      <c r="N54" s="137"/>
      <c r="O54" s="15"/>
      <c r="P54" s="15"/>
      <c r="Q54" s="15"/>
      <c r="R54" s="15"/>
      <c r="S54" s="15"/>
      <c r="T54" s="15"/>
    </row>
    <row r="55" spans="1:20" ht="18" customHeight="1" x14ac:dyDescent="0.35">
      <c r="A55" s="15"/>
      <c r="B55" s="138" t="s">
        <v>152</v>
      </c>
      <c r="C55" s="138"/>
      <c r="D55" s="138"/>
      <c r="E55" s="138"/>
      <c r="F55" s="138"/>
      <c r="G55" s="138"/>
      <c r="H55" s="138"/>
      <c r="I55" s="138"/>
      <c r="J55" s="138"/>
      <c r="K55" s="138"/>
      <c r="L55" s="138"/>
      <c r="M55" s="138"/>
      <c r="N55" s="138"/>
      <c r="O55" s="15"/>
      <c r="P55" s="15"/>
      <c r="Q55" s="15"/>
      <c r="R55" s="15"/>
      <c r="S55" s="15"/>
      <c r="T55" s="15"/>
    </row>
    <row r="56" spans="1:20" ht="21.75" customHeight="1" x14ac:dyDescent="0.35">
      <c r="A56" s="15"/>
      <c r="B56" s="25" t="s">
        <v>62</v>
      </c>
      <c r="C56" s="25" t="s">
        <v>63</v>
      </c>
      <c r="D56" s="25" t="s">
        <v>64</v>
      </c>
      <c r="E56" s="25" t="s">
        <v>65</v>
      </c>
      <c r="F56" s="25" t="s">
        <v>66</v>
      </c>
      <c r="G56" s="25" t="s">
        <v>67</v>
      </c>
      <c r="H56" s="25" t="s">
        <v>68</v>
      </c>
      <c r="I56" s="25" t="s">
        <v>69</v>
      </c>
      <c r="J56" s="15"/>
      <c r="K56" s="15"/>
      <c r="L56" s="15"/>
      <c r="M56" s="15"/>
      <c r="N56" s="15"/>
      <c r="O56" s="15"/>
      <c r="P56" s="15"/>
      <c r="Q56" s="15"/>
      <c r="R56" s="15"/>
      <c r="S56" s="15"/>
      <c r="T56" s="15"/>
    </row>
    <row r="57" spans="1:20" ht="25.5" customHeight="1" x14ac:dyDescent="0.35">
      <c r="A57" s="15"/>
      <c r="B57" s="26">
        <v>1</v>
      </c>
      <c r="C57" s="27" t="s">
        <v>167</v>
      </c>
      <c r="D57" s="28" t="s">
        <v>168</v>
      </c>
      <c r="E57" s="29" t="s">
        <v>79</v>
      </c>
      <c r="F57" s="30" t="s">
        <v>100</v>
      </c>
      <c r="G57" s="31" t="s">
        <v>86</v>
      </c>
      <c r="H57" s="32" t="s">
        <v>75</v>
      </c>
      <c r="I57" s="33" t="s">
        <v>169</v>
      </c>
      <c r="J57" s="15"/>
      <c r="K57" s="15"/>
      <c r="L57" s="15"/>
      <c r="M57" s="15"/>
      <c r="N57" s="15"/>
      <c r="O57" s="15"/>
      <c r="P57" s="15"/>
      <c r="Q57" s="15"/>
      <c r="R57" s="15"/>
      <c r="S57" s="15"/>
      <c r="T57" s="15"/>
    </row>
    <row r="58" spans="1:20" ht="25.5" customHeight="1" x14ac:dyDescent="0.35">
      <c r="A58" s="15"/>
      <c r="B58" s="34">
        <v>2</v>
      </c>
      <c r="C58" s="35" t="s">
        <v>133</v>
      </c>
      <c r="D58" s="36" t="s">
        <v>134</v>
      </c>
      <c r="E58" s="37" t="s">
        <v>79</v>
      </c>
      <c r="F58" s="38" t="s">
        <v>80</v>
      </c>
      <c r="G58" s="39" t="s">
        <v>96</v>
      </c>
      <c r="H58" s="40" t="s">
        <v>82</v>
      </c>
      <c r="I58" s="41" t="s">
        <v>170</v>
      </c>
      <c r="J58" s="15"/>
      <c r="K58" s="15"/>
      <c r="L58" s="15"/>
      <c r="M58" s="15"/>
      <c r="N58" s="15"/>
      <c r="O58" s="15"/>
      <c r="P58" s="15"/>
      <c r="Q58" s="15"/>
      <c r="R58" s="15"/>
      <c r="S58" s="15"/>
      <c r="T58" s="15"/>
    </row>
    <row r="59" spans="1:20" ht="25.5" customHeight="1" x14ac:dyDescent="0.35">
      <c r="A59" s="15"/>
      <c r="B59" s="26">
        <v>3</v>
      </c>
      <c r="C59" s="27" t="s">
        <v>136</v>
      </c>
      <c r="D59" s="28" t="s">
        <v>137</v>
      </c>
      <c r="E59" s="29" t="s">
        <v>79</v>
      </c>
      <c r="F59" s="30" t="s">
        <v>80</v>
      </c>
      <c r="G59" s="31" t="s">
        <v>96</v>
      </c>
      <c r="H59" s="40" t="s">
        <v>82</v>
      </c>
      <c r="I59" s="33" t="s">
        <v>171</v>
      </c>
      <c r="J59" s="15"/>
      <c r="K59" s="15"/>
      <c r="L59" s="15"/>
      <c r="M59" s="15"/>
      <c r="N59" s="15"/>
      <c r="O59" s="15"/>
      <c r="P59" s="15"/>
      <c r="Q59" s="15"/>
      <c r="R59" s="15"/>
      <c r="S59" s="15"/>
      <c r="T59" s="15"/>
    </row>
    <row r="60" spans="1:20" ht="25.5" customHeight="1" x14ac:dyDescent="0.35">
      <c r="A60" s="15"/>
      <c r="B60" s="34">
        <v>4</v>
      </c>
      <c r="C60" s="35" t="s">
        <v>139</v>
      </c>
      <c r="D60" s="36" t="s">
        <v>140</v>
      </c>
      <c r="E60" s="37" t="s">
        <v>79</v>
      </c>
      <c r="F60" s="38" t="s">
        <v>80</v>
      </c>
      <c r="G60" s="39" t="s">
        <v>101</v>
      </c>
      <c r="H60" s="40" t="s">
        <v>82</v>
      </c>
      <c r="I60" s="41" t="s">
        <v>172</v>
      </c>
      <c r="J60" s="15"/>
      <c r="K60" s="15"/>
      <c r="L60" s="15"/>
      <c r="M60" s="15"/>
      <c r="N60" s="15"/>
      <c r="O60" s="15"/>
      <c r="P60" s="15"/>
      <c r="Q60" s="15"/>
      <c r="R60" s="15"/>
      <c r="S60" s="15"/>
      <c r="T60" s="15"/>
    </row>
    <row r="61" spans="1:20" ht="25.5" customHeight="1" x14ac:dyDescent="0.35">
      <c r="A61" s="15"/>
      <c r="B61" s="26">
        <v>5</v>
      </c>
      <c r="C61" s="27" t="s">
        <v>173</v>
      </c>
      <c r="D61" s="28" t="s">
        <v>174</v>
      </c>
      <c r="E61" s="29" t="s">
        <v>79</v>
      </c>
      <c r="F61" s="30" t="s">
        <v>147</v>
      </c>
      <c r="G61" s="31" t="s">
        <v>148</v>
      </c>
      <c r="H61" s="40" t="s">
        <v>82</v>
      </c>
      <c r="I61" s="33" t="s">
        <v>175</v>
      </c>
      <c r="J61" s="15"/>
      <c r="K61" s="15"/>
      <c r="L61" s="15"/>
      <c r="M61" s="15"/>
      <c r="N61" s="15"/>
      <c r="O61" s="15"/>
      <c r="P61" s="15"/>
      <c r="Q61" s="15"/>
      <c r="R61" s="15"/>
      <c r="S61" s="15"/>
      <c r="T61" s="15"/>
    </row>
    <row r="62" spans="1:20" ht="25.5" customHeight="1" x14ac:dyDescent="0.35">
      <c r="A62" s="15"/>
      <c r="B62" s="34">
        <v>6</v>
      </c>
      <c r="C62" s="35" t="s">
        <v>176</v>
      </c>
      <c r="D62" s="36" t="s">
        <v>177</v>
      </c>
      <c r="E62" s="37" t="s">
        <v>79</v>
      </c>
      <c r="F62" s="38" t="s">
        <v>73</v>
      </c>
      <c r="G62" s="39" t="s">
        <v>96</v>
      </c>
      <c r="H62" s="40" t="s">
        <v>82</v>
      </c>
      <c r="I62" s="41" t="s">
        <v>178</v>
      </c>
      <c r="J62" s="15"/>
      <c r="K62" s="15"/>
      <c r="L62" s="15"/>
      <c r="M62" s="15"/>
      <c r="N62" s="15"/>
      <c r="O62" s="15"/>
      <c r="P62" s="15"/>
      <c r="Q62" s="15"/>
      <c r="R62" s="15"/>
      <c r="S62" s="15"/>
      <c r="T62" s="15"/>
    </row>
    <row r="63" spans="1:20" ht="25.5" customHeight="1" x14ac:dyDescent="0.35">
      <c r="A63" s="15"/>
      <c r="B63" s="26">
        <v>7</v>
      </c>
      <c r="C63" s="27" t="s">
        <v>93</v>
      </c>
      <c r="D63" s="28" t="s">
        <v>94</v>
      </c>
      <c r="E63" s="29" t="s">
        <v>79</v>
      </c>
      <c r="F63" s="30" t="s">
        <v>80</v>
      </c>
      <c r="G63" s="31" t="s">
        <v>96</v>
      </c>
      <c r="H63" s="40" t="s">
        <v>82</v>
      </c>
      <c r="I63" s="33" t="s">
        <v>179</v>
      </c>
      <c r="J63" s="15"/>
      <c r="K63" s="15"/>
      <c r="L63" s="15"/>
      <c r="M63" s="15"/>
      <c r="N63" s="15"/>
      <c r="O63" s="15"/>
      <c r="P63" s="15"/>
      <c r="Q63" s="15"/>
      <c r="R63" s="15"/>
      <c r="S63" s="15"/>
      <c r="T63" s="15"/>
    </row>
    <row r="64" spans="1:20" ht="25.5" customHeight="1" x14ac:dyDescent="0.35">
      <c r="A64" s="15"/>
      <c r="B64" s="34">
        <v>8</v>
      </c>
      <c r="C64" s="35" t="s">
        <v>98</v>
      </c>
      <c r="D64" s="36" t="s">
        <v>99</v>
      </c>
      <c r="E64" s="37" t="s">
        <v>79</v>
      </c>
      <c r="F64" s="38" t="s">
        <v>80</v>
      </c>
      <c r="G64" s="39" t="s">
        <v>96</v>
      </c>
      <c r="H64" s="40" t="s">
        <v>82</v>
      </c>
      <c r="I64" s="41" t="s">
        <v>180</v>
      </c>
      <c r="J64" s="15"/>
      <c r="K64" s="15"/>
      <c r="L64" s="15"/>
      <c r="M64" s="15"/>
      <c r="N64" s="15"/>
      <c r="O64" s="15"/>
      <c r="P64" s="15"/>
      <c r="Q64" s="15"/>
      <c r="R64" s="15"/>
      <c r="S64" s="15"/>
      <c r="T64" s="15"/>
    </row>
    <row r="65" spans="1:20" ht="19.5" customHeight="1" x14ac:dyDescent="0.35">
      <c r="A65" s="15"/>
      <c r="B65" s="129" t="s">
        <v>104</v>
      </c>
      <c r="C65" s="129"/>
      <c r="D65" s="129"/>
      <c r="E65" s="129"/>
      <c r="F65" s="129"/>
      <c r="G65" s="129"/>
      <c r="H65" s="129"/>
      <c r="I65" s="129"/>
      <c r="J65" s="129"/>
      <c r="K65" s="129"/>
      <c r="L65" s="129"/>
      <c r="M65" s="129"/>
      <c r="N65" s="129"/>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24" customHeight="1" x14ac:dyDescent="0.35">
      <c r="A67" s="15"/>
      <c r="B67" s="139" t="s">
        <v>181</v>
      </c>
      <c r="C67" s="139"/>
      <c r="D67" s="139"/>
      <c r="E67" s="139"/>
      <c r="F67" s="139"/>
      <c r="G67" s="139"/>
      <c r="H67" s="139"/>
      <c r="I67" s="139"/>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9.5" customHeight="1" x14ac:dyDescent="0.35">
      <c r="A80" s="15"/>
      <c r="B80" s="15"/>
      <c r="C80" s="15"/>
      <c r="D80" s="15"/>
      <c r="E80" s="15"/>
      <c r="F80" s="15"/>
      <c r="G80" s="15"/>
      <c r="H80" s="15"/>
      <c r="I80" s="15"/>
      <c r="J80" s="15"/>
      <c r="K80" s="15"/>
      <c r="L80" s="15"/>
      <c r="M80" s="15"/>
      <c r="N80" s="15"/>
      <c r="O80" s="15"/>
      <c r="P80" s="15"/>
      <c r="Q80" s="15"/>
      <c r="R80" s="15"/>
      <c r="S80" s="15"/>
      <c r="T80" s="15"/>
    </row>
    <row r="81" spans="1:20" ht="19.5" customHeight="1" x14ac:dyDescent="0.35">
      <c r="A81" s="15"/>
      <c r="B81" s="15"/>
      <c r="C81" s="15"/>
      <c r="D81" s="15"/>
      <c r="E81" s="15"/>
      <c r="F81" s="15"/>
      <c r="G81" s="15"/>
      <c r="H81" s="15"/>
      <c r="I81" s="15"/>
      <c r="J81" s="15"/>
      <c r="K81" s="15"/>
      <c r="L81" s="15"/>
      <c r="M81" s="15"/>
      <c r="N81" s="15"/>
      <c r="O81" s="15"/>
      <c r="P81" s="15"/>
      <c r="Q81" s="15"/>
      <c r="R81" s="15"/>
      <c r="S81" s="15"/>
      <c r="T81" s="15"/>
    </row>
    <row r="82" spans="1:20" ht="19.5" customHeight="1" x14ac:dyDescent="0.35">
      <c r="A82" s="15"/>
      <c r="B82" s="15"/>
      <c r="C82" s="15"/>
      <c r="D82" s="15"/>
      <c r="E82" s="15"/>
      <c r="F82" s="15"/>
      <c r="G82" s="15"/>
      <c r="H82" s="15"/>
      <c r="I82" s="15"/>
      <c r="J82" s="15"/>
      <c r="K82" s="15"/>
      <c r="L82" s="15"/>
      <c r="M82" s="15"/>
      <c r="N82" s="15"/>
      <c r="O82" s="15"/>
      <c r="P82" s="15"/>
      <c r="Q82" s="15"/>
      <c r="R82" s="15"/>
      <c r="S82" s="15"/>
      <c r="T82" s="15"/>
    </row>
    <row r="83" spans="1:20" ht="19.5" customHeight="1" x14ac:dyDescent="0.35">
      <c r="A83" s="15"/>
      <c r="B83" s="15"/>
      <c r="C83" s="15"/>
      <c r="D83" s="15"/>
      <c r="E83" s="15"/>
      <c r="F83" s="15"/>
      <c r="G83" s="15"/>
      <c r="H83" s="15"/>
      <c r="I83" s="15"/>
      <c r="J83" s="15"/>
      <c r="K83" s="15"/>
      <c r="L83" s="15"/>
      <c r="M83" s="15"/>
      <c r="N83" s="15"/>
      <c r="O83" s="15"/>
      <c r="P83" s="15"/>
      <c r="Q83" s="15"/>
      <c r="R83" s="15"/>
      <c r="S83" s="15"/>
      <c r="T83" s="15"/>
    </row>
    <row r="84" spans="1:20" ht="19.5" customHeight="1" x14ac:dyDescent="0.35">
      <c r="A84" s="15"/>
      <c r="B84" s="15"/>
      <c r="C84" s="15"/>
      <c r="D84" s="15"/>
      <c r="E84" s="15"/>
      <c r="F84" s="15"/>
      <c r="G84" s="15"/>
      <c r="H84" s="15"/>
      <c r="I84" s="15"/>
      <c r="J84" s="15"/>
      <c r="K84" s="15"/>
      <c r="L84" s="15"/>
      <c r="M84" s="15"/>
      <c r="N84" s="15"/>
      <c r="O84" s="15"/>
      <c r="P84" s="15"/>
      <c r="Q84" s="15"/>
      <c r="R84" s="15"/>
      <c r="S84" s="15"/>
      <c r="T84" s="15"/>
    </row>
    <row r="85" spans="1:20" ht="19.5" customHeight="1" x14ac:dyDescent="0.35">
      <c r="A85" s="15"/>
      <c r="B85" s="15"/>
      <c r="C85" s="15"/>
      <c r="D85" s="15"/>
      <c r="E85" s="15"/>
      <c r="F85" s="15"/>
      <c r="G85" s="15"/>
      <c r="H85" s="15"/>
      <c r="I85" s="15"/>
      <c r="J85" s="15"/>
      <c r="K85" s="15"/>
      <c r="L85" s="15"/>
      <c r="M85" s="15"/>
      <c r="N85" s="15"/>
      <c r="O85" s="15"/>
      <c r="P85" s="15"/>
      <c r="Q85" s="15"/>
      <c r="R85" s="15"/>
      <c r="S85" s="15"/>
      <c r="T85" s="15"/>
    </row>
    <row r="86" spans="1:20" ht="19.5" customHeight="1" x14ac:dyDescent="0.35">
      <c r="A86" s="15"/>
      <c r="B86" s="15"/>
      <c r="C86" s="15"/>
      <c r="D86" s="15"/>
      <c r="E86" s="15"/>
      <c r="F86" s="15"/>
      <c r="G86" s="15"/>
      <c r="H86" s="15"/>
      <c r="I86" s="15"/>
      <c r="J86" s="15"/>
      <c r="K86" s="15"/>
      <c r="L86" s="15"/>
      <c r="M86" s="15"/>
      <c r="N86" s="15"/>
      <c r="O86" s="15"/>
      <c r="P86" s="15"/>
      <c r="Q86" s="15"/>
      <c r="R86" s="15"/>
      <c r="S86" s="15"/>
      <c r="T86" s="15"/>
    </row>
    <row r="87" spans="1:20" ht="19.5" customHeight="1" x14ac:dyDescent="0.35">
      <c r="A87" s="15"/>
      <c r="B87" s="15"/>
      <c r="C87" s="15"/>
      <c r="D87" s="15"/>
      <c r="E87" s="15"/>
      <c r="F87" s="15"/>
      <c r="G87" s="15"/>
      <c r="H87" s="15"/>
      <c r="I87" s="15"/>
      <c r="J87" s="15"/>
      <c r="K87" s="15"/>
      <c r="L87" s="15"/>
      <c r="M87" s="15"/>
      <c r="N87" s="15"/>
      <c r="O87" s="15"/>
      <c r="P87" s="15"/>
      <c r="Q87" s="15"/>
      <c r="R87" s="15"/>
      <c r="S87" s="15"/>
      <c r="T87" s="15"/>
    </row>
    <row r="88" spans="1:20" ht="19.5" customHeight="1" x14ac:dyDescent="0.35">
      <c r="A88" s="15"/>
      <c r="B88" s="15"/>
      <c r="C88" s="15"/>
      <c r="D88" s="15"/>
      <c r="E88" s="15"/>
      <c r="F88" s="15"/>
      <c r="G88" s="15"/>
      <c r="H88" s="15"/>
      <c r="I88" s="15"/>
      <c r="J88" s="15"/>
      <c r="K88" s="15"/>
      <c r="L88" s="15"/>
      <c r="M88" s="15"/>
      <c r="N88" s="15"/>
      <c r="O88" s="15"/>
      <c r="P88" s="15"/>
      <c r="Q88" s="15"/>
      <c r="R88" s="15"/>
      <c r="S88" s="15"/>
      <c r="T88" s="15"/>
    </row>
    <row r="89" spans="1:20" ht="19.5" customHeight="1" x14ac:dyDescent="0.35">
      <c r="A89" s="15"/>
      <c r="B89" s="15"/>
      <c r="C89" s="15"/>
      <c r="D89" s="15"/>
      <c r="E89" s="15"/>
      <c r="F89" s="15"/>
      <c r="G89" s="15"/>
      <c r="H89" s="15"/>
      <c r="I89" s="15"/>
      <c r="J89" s="15"/>
      <c r="K89" s="15"/>
      <c r="L89" s="15"/>
      <c r="M89" s="15"/>
      <c r="N89" s="15"/>
      <c r="O89" s="15"/>
      <c r="P89" s="15"/>
      <c r="Q89" s="15"/>
      <c r="R89" s="15"/>
      <c r="S89" s="15"/>
      <c r="T89" s="15"/>
    </row>
    <row r="90" spans="1:20" ht="19.5" customHeight="1" x14ac:dyDescent="0.35">
      <c r="A90" s="15"/>
      <c r="B90" s="15"/>
      <c r="C90" s="15"/>
      <c r="D90" s="15"/>
      <c r="E90" s="15"/>
      <c r="F90" s="15"/>
      <c r="G90" s="15"/>
      <c r="H90" s="15"/>
      <c r="I90" s="15"/>
      <c r="J90" s="15"/>
      <c r="K90" s="15"/>
      <c r="L90" s="15"/>
      <c r="M90" s="15"/>
      <c r="N90" s="15"/>
      <c r="O90" s="15"/>
      <c r="P90" s="15"/>
      <c r="Q90" s="15"/>
      <c r="R90" s="15"/>
      <c r="S90" s="15"/>
      <c r="T90" s="15"/>
    </row>
    <row r="91" spans="1:20" ht="19.5" customHeight="1" x14ac:dyDescent="0.35">
      <c r="A91" s="15"/>
      <c r="B91" s="15"/>
      <c r="C91" s="15"/>
      <c r="D91" s="15"/>
      <c r="E91" s="15"/>
      <c r="F91" s="15"/>
      <c r="G91" s="15"/>
      <c r="H91" s="15"/>
      <c r="I91" s="15"/>
      <c r="J91" s="15"/>
      <c r="K91" s="15"/>
      <c r="L91" s="15"/>
      <c r="M91" s="15"/>
      <c r="N91" s="15"/>
      <c r="O91" s="15"/>
      <c r="P91" s="15"/>
      <c r="Q91" s="15"/>
      <c r="R91" s="15"/>
      <c r="S91" s="15"/>
      <c r="T91" s="15"/>
    </row>
    <row r="92" spans="1:20" ht="19.5" customHeight="1" x14ac:dyDescent="0.35">
      <c r="A92" s="15"/>
      <c r="B92" s="15"/>
      <c r="C92" s="15"/>
      <c r="D92" s="15"/>
      <c r="E92" s="15"/>
      <c r="F92" s="15"/>
      <c r="G92" s="15"/>
      <c r="H92" s="15"/>
      <c r="I92" s="15"/>
      <c r="J92" s="15"/>
      <c r="K92" s="15"/>
      <c r="L92" s="15"/>
      <c r="M92" s="15"/>
      <c r="N92" s="15"/>
      <c r="O92" s="15"/>
      <c r="P92" s="15"/>
      <c r="Q92" s="15"/>
      <c r="R92" s="15"/>
      <c r="S92" s="15"/>
      <c r="T92" s="15"/>
    </row>
    <row r="93" spans="1:20" ht="19.5" customHeight="1" x14ac:dyDescent="0.35">
      <c r="A93" s="15"/>
      <c r="B93" s="15"/>
      <c r="C93" s="15"/>
      <c r="D93" s="15"/>
      <c r="E93" s="15"/>
      <c r="F93" s="15"/>
      <c r="G93" s="15"/>
      <c r="H93" s="15"/>
      <c r="I93" s="15"/>
      <c r="J93" s="15"/>
      <c r="K93" s="15"/>
      <c r="L93" s="15"/>
      <c r="M93" s="15"/>
      <c r="N93" s="15"/>
      <c r="O93" s="15"/>
      <c r="P93" s="15"/>
      <c r="Q93" s="15"/>
      <c r="R93" s="15"/>
      <c r="S93" s="15"/>
      <c r="T93" s="15"/>
    </row>
    <row r="94" spans="1:20" ht="19.5" customHeight="1" x14ac:dyDescent="0.35">
      <c r="A94" s="15"/>
      <c r="B94" s="15"/>
      <c r="C94" s="15"/>
      <c r="D94" s="15"/>
      <c r="E94" s="15"/>
      <c r="F94" s="15"/>
      <c r="G94" s="15"/>
      <c r="H94" s="15"/>
      <c r="I94" s="15"/>
      <c r="J94" s="15"/>
      <c r="K94" s="15"/>
      <c r="L94" s="15"/>
      <c r="M94" s="15"/>
      <c r="N94" s="15"/>
      <c r="O94" s="15"/>
      <c r="P94" s="15"/>
      <c r="Q94" s="15"/>
      <c r="R94" s="15"/>
      <c r="S94" s="15"/>
      <c r="T94" s="15"/>
    </row>
    <row r="95" spans="1:20" ht="19.5" customHeight="1" x14ac:dyDescent="0.35">
      <c r="A95" s="15"/>
      <c r="B95" s="15"/>
      <c r="C95" s="15"/>
      <c r="D95" s="15"/>
      <c r="E95" s="15"/>
      <c r="F95" s="15"/>
      <c r="G95" s="15"/>
      <c r="H95" s="15"/>
      <c r="I95" s="15"/>
      <c r="J95" s="15"/>
      <c r="K95" s="15"/>
      <c r="L95" s="15"/>
      <c r="M95" s="15"/>
      <c r="N95" s="15"/>
      <c r="O95" s="15"/>
      <c r="P95" s="15"/>
      <c r="Q95" s="15"/>
      <c r="R95" s="15"/>
      <c r="S95" s="15"/>
      <c r="T95" s="15"/>
    </row>
    <row r="96" spans="1:20" ht="19.5" customHeight="1" x14ac:dyDescent="0.35">
      <c r="A96" s="15"/>
      <c r="B96" s="15"/>
      <c r="C96" s="15"/>
      <c r="D96" s="15"/>
      <c r="E96" s="15"/>
      <c r="F96" s="15"/>
      <c r="G96" s="15"/>
      <c r="H96" s="15"/>
      <c r="I96" s="15"/>
      <c r="J96" s="15"/>
      <c r="K96" s="15"/>
      <c r="L96" s="15"/>
      <c r="M96" s="15"/>
      <c r="N96" s="15"/>
      <c r="O96" s="15"/>
      <c r="P96" s="15"/>
      <c r="Q96" s="15"/>
      <c r="R96" s="15"/>
      <c r="S96" s="15"/>
      <c r="T96" s="15"/>
    </row>
    <row r="97" spans="1:20" ht="19.5" customHeight="1" x14ac:dyDescent="0.35">
      <c r="A97" s="15"/>
      <c r="B97" s="15"/>
      <c r="C97" s="15"/>
      <c r="D97" s="15"/>
      <c r="E97" s="15"/>
      <c r="F97" s="15"/>
      <c r="G97" s="15"/>
      <c r="H97" s="15"/>
      <c r="I97" s="15"/>
      <c r="J97" s="15"/>
      <c r="K97" s="15"/>
      <c r="L97" s="15"/>
      <c r="M97" s="15"/>
      <c r="N97" s="15"/>
      <c r="O97" s="15"/>
      <c r="P97" s="15"/>
      <c r="Q97" s="15"/>
      <c r="R97" s="15"/>
      <c r="S97" s="15"/>
      <c r="T97" s="15"/>
    </row>
    <row r="98" spans="1:20" ht="19.5" customHeight="1" x14ac:dyDescent="0.35">
      <c r="A98" s="15"/>
      <c r="B98" s="15"/>
      <c r="C98" s="15"/>
      <c r="D98" s="15"/>
      <c r="E98" s="15"/>
      <c r="F98" s="15"/>
      <c r="G98" s="15"/>
      <c r="H98" s="15"/>
      <c r="I98" s="15"/>
      <c r="J98" s="15"/>
      <c r="K98" s="15"/>
      <c r="L98" s="15"/>
      <c r="M98" s="15"/>
      <c r="N98" s="15"/>
      <c r="O98" s="15"/>
      <c r="P98" s="15"/>
      <c r="Q98" s="15"/>
      <c r="R98" s="15"/>
      <c r="S98" s="15"/>
      <c r="T98" s="15"/>
    </row>
    <row r="99" spans="1:20" ht="19.5" customHeight="1" x14ac:dyDescent="0.35">
      <c r="A99" s="15"/>
      <c r="B99" s="15"/>
      <c r="C99" s="15"/>
      <c r="D99" s="15"/>
      <c r="E99" s="15"/>
      <c r="F99" s="15"/>
      <c r="G99" s="15"/>
      <c r="H99" s="15"/>
      <c r="I99" s="15"/>
      <c r="J99" s="15"/>
      <c r="K99" s="15"/>
      <c r="L99" s="15"/>
      <c r="M99" s="15"/>
      <c r="N99" s="15"/>
      <c r="O99" s="15"/>
      <c r="P99" s="15"/>
      <c r="Q99" s="15"/>
      <c r="R99" s="15"/>
      <c r="S99" s="15"/>
      <c r="T99" s="15"/>
    </row>
    <row r="100" spans="1:20" ht="19.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9.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9.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9.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9.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9.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9.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9.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9.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9.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9.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9.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9.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9.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9.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9.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9.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9.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9.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9.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9.5" customHeight="1" x14ac:dyDescent="0.35">
      <c r="A120" s="15"/>
      <c r="B120" s="15"/>
      <c r="C120" s="15"/>
      <c r="D120" s="15"/>
      <c r="E120" s="15"/>
      <c r="F120" s="15"/>
      <c r="G120" s="15"/>
      <c r="H120" s="15"/>
      <c r="I120" s="15"/>
      <c r="J120" s="15"/>
      <c r="K120" s="15"/>
      <c r="L120" s="15"/>
      <c r="M120" s="15"/>
      <c r="N120" s="15"/>
      <c r="O120" s="15"/>
      <c r="P120" s="15"/>
      <c r="Q120" s="15"/>
      <c r="R120" s="15"/>
      <c r="S120" s="15"/>
      <c r="T120" s="15"/>
    </row>
    <row r="121" spans="1:20" ht="19.5" customHeight="1" x14ac:dyDescent="0.35"/>
    <row r="122" spans="1:20" ht="19.5" customHeight="1" x14ac:dyDescent="0.35"/>
    <row r="123" spans="1:20" ht="19.5" customHeight="1" x14ac:dyDescent="0.35"/>
    <row r="124" spans="1:20" ht="19.5" customHeight="1" x14ac:dyDescent="0.35"/>
    <row r="125" spans="1:20" ht="19.5" customHeight="1" x14ac:dyDescent="0.35"/>
    <row r="126" spans="1:20" ht="19.5" customHeight="1" x14ac:dyDescent="0.35"/>
    <row r="127" spans="1:20" ht="19.5" customHeight="1" x14ac:dyDescent="0.35"/>
    <row r="128" spans="1:20" ht="19.5" customHeight="1" x14ac:dyDescent="0.35"/>
    <row r="129" ht="19.5" customHeight="1" x14ac:dyDescent="0.35"/>
    <row r="130" ht="19.5" customHeight="1" x14ac:dyDescent="0.35"/>
    <row r="131" ht="19.5" customHeight="1" x14ac:dyDescent="0.35"/>
    <row r="132" ht="19.5" customHeight="1" x14ac:dyDescent="0.35"/>
    <row r="133" ht="19.5" customHeight="1" x14ac:dyDescent="0.35"/>
    <row r="134" ht="19.5" customHeight="1" x14ac:dyDescent="0.35"/>
    <row r="135" ht="19.5" customHeight="1" x14ac:dyDescent="0.35"/>
    <row r="136" ht="19.5" customHeight="1" x14ac:dyDescent="0.35"/>
    <row r="137" ht="19.5" customHeight="1" x14ac:dyDescent="0.35"/>
    <row r="138" ht="19.5" customHeight="1" x14ac:dyDescent="0.35"/>
    <row r="139" ht="19.5" customHeight="1" x14ac:dyDescent="0.35"/>
    <row r="140" ht="19.5" customHeight="1" x14ac:dyDescent="0.35"/>
    <row r="141" ht="19.5" customHeight="1" x14ac:dyDescent="0.35"/>
    <row r="142" ht="19.5" customHeight="1" x14ac:dyDescent="0.35"/>
    <row r="143" ht="19.5" customHeight="1" x14ac:dyDescent="0.35"/>
    <row r="144" ht="19.5" customHeight="1" x14ac:dyDescent="0.35"/>
    <row r="145" ht="19.5" customHeight="1" x14ac:dyDescent="0.35"/>
    <row r="146" ht="19.5" customHeight="1" x14ac:dyDescent="0.35"/>
    <row r="147" ht="19.5" customHeight="1" x14ac:dyDescent="0.35"/>
    <row r="148" ht="19.5" customHeight="1" x14ac:dyDescent="0.35"/>
    <row r="149" ht="19.5" customHeight="1" x14ac:dyDescent="0.35"/>
    <row r="150" ht="19.5" customHeight="1" x14ac:dyDescent="0.35"/>
    <row r="151" ht="19.5" customHeight="1" x14ac:dyDescent="0.35"/>
    <row r="152" ht="19.5" customHeight="1" x14ac:dyDescent="0.35"/>
    <row r="153" ht="19.5" customHeight="1" x14ac:dyDescent="0.35"/>
    <row r="154" ht="19.5" customHeight="1" x14ac:dyDescent="0.35"/>
    <row r="155" ht="19.5" customHeight="1" x14ac:dyDescent="0.35"/>
    <row r="156" ht="19.5" customHeight="1" x14ac:dyDescent="0.35"/>
    <row r="157" ht="19.5" customHeight="1" x14ac:dyDescent="0.35"/>
    <row r="158" ht="19.5" customHeight="1" x14ac:dyDescent="0.35"/>
    <row r="159" ht="19.5" customHeight="1" x14ac:dyDescent="0.35"/>
    <row r="160" ht="19.5" customHeight="1" x14ac:dyDescent="0.35"/>
    <row r="161" ht="19.5" customHeight="1" x14ac:dyDescent="0.35"/>
    <row r="162" ht="19.5" customHeight="1" x14ac:dyDescent="0.35"/>
    <row r="163" ht="19.5" customHeight="1" x14ac:dyDescent="0.35"/>
    <row r="164" ht="19.5" customHeight="1" x14ac:dyDescent="0.35"/>
    <row r="165" ht="19.5" customHeight="1" x14ac:dyDescent="0.35"/>
    <row r="166" ht="19.5" customHeight="1" x14ac:dyDescent="0.35"/>
    <row r="167" ht="19.5" customHeight="1" x14ac:dyDescent="0.35"/>
    <row r="168" ht="19.5" customHeight="1" x14ac:dyDescent="0.35"/>
    <row r="169" ht="19.5" customHeight="1" x14ac:dyDescent="0.35"/>
    <row r="170" ht="19.5" customHeight="1" x14ac:dyDescent="0.35"/>
    <row r="171" ht="19.5" customHeight="1" x14ac:dyDescent="0.35"/>
    <row r="172" ht="19.5" customHeight="1" x14ac:dyDescent="0.35"/>
    <row r="173" ht="19.5" customHeight="1" x14ac:dyDescent="0.35"/>
    <row r="174" ht="19.5" customHeight="1" x14ac:dyDescent="0.35"/>
    <row r="175" ht="19.5" customHeight="1" x14ac:dyDescent="0.35"/>
    <row r="176" ht="19.5" customHeight="1" x14ac:dyDescent="0.35"/>
    <row r="177" ht="19.5" customHeight="1" x14ac:dyDescent="0.35"/>
    <row r="178" ht="19.5" customHeight="1" x14ac:dyDescent="0.35"/>
    <row r="179" ht="19.5" customHeight="1" x14ac:dyDescent="0.35"/>
    <row r="180" ht="19.5" customHeight="1" x14ac:dyDescent="0.35"/>
    <row r="181" ht="19.5" customHeight="1" x14ac:dyDescent="0.35"/>
    <row r="182" ht="19.5" customHeight="1" x14ac:dyDescent="0.35"/>
    <row r="183" ht="19.5" customHeight="1" x14ac:dyDescent="0.35"/>
    <row r="184" ht="19.5" customHeight="1" x14ac:dyDescent="0.35"/>
    <row r="185" ht="19.5" customHeight="1" x14ac:dyDescent="0.35"/>
    <row r="186" ht="19.5" customHeight="1" x14ac:dyDescent="0.35"/>
    <row r="187" ht="19.5" customHeight="1" x14ac:dyDescent="0.35"/>
    <row r="188" ht="19.5" customHeight="1" x14ac:dyDescent="0.35"/>
    <row r="189" ht="19.5" customHeight="1" x14ac:dyDescent="0.35"/>
    <row r="190" ht="19.5" customHeight="1" x14ac:dyDescent="0.35"/>
    <row r="191" ht="19.5" customHeight="1" x14ac:dyDescent="0.35"/>
    <row r="192" ht="19.5" customHeight="1" x14ac:dyDescent="0.35"/>
    <row r="193" ht="19.5" customHeight="1" x14ac:dyDescent="0.35"/>
    <row r="194" ht="19.5" customHeight="1" x14ac:dyDescent="0.35"/>
    <row r="195" ht="19.5" customHeight="1" x14ac:dyDescent="0.35"/>
    <row r="196" ht="19.5" customHeight="1" x14ac:dyDescent="0.35"/>
    <row r="197" ht="19.5" customHeight="1" x14ac:dyDescent="0.35"/>
    <row r="198" ht="19.5" customHeight="1" x14ac:dyDescent="0.35"/>
    <row r="199" ht="19.5" customHeight="1" x14ac:dyDescent="0.35"/>
  </sheetData>
  <mergeCells count="20">
    <mergeCell ref="B52:N52"/>
    <mergeCell ref="B54:N54"/>
    <mergeCell ref="B55:N55"/>
    <mergeCell ref="B65:N65"/>
    <mergeCell ref="B67:I67"/>
    <mergeCell ref="B30:N30"/>
    <mergeCell ref="B39:N39"/>
    <mergeCell ref="B41:I41"/>
    <mergeCell ref="B43:N43"/>
    <mergeCell ref="B44:N44"/>
    <mergeCell ref="B16:N16"/>
    <mergeCell ref="B18:N18"/>
    <mergeCell ref="B19:N19"/>
    <mergeCell ref="B27:N27"/>
    <mergeCell ref="B29:N29"/>
    <mergeCell ref="B2:N2"/>
    <mergeCell ref="B3:N3"/>
    <mergeCell ref="B5:I5"/>
    <mergeCell ref="B7:N7"/>
    <mergeCell ref="B8:N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B308"/>
  </sheetPr>
  <dimension ref="A1:T159"/>
  <sheetViews>
    <sheetView showGridLines="0" zoomScaleNormal="100" workbookViewId="0"/>
  </sheetViews>
  <sheetFormatPr baseColWidth="10" defaultColWidth="8.6328125" defaultRowHeight="14.5" x14ac:dyDescent="0.35"/>
  <cols>
    <col min="1" max="1" width="2" customWidth="1"/>
    <col min="2" max="2" width="4" customWidth="1"/>
    <col min="3" max="3" width="28" customWidth="1"/>
    <col min="4" max="4" width="18" customWidth="1"/>
    <col min="5" max="5" width="8" customWidth="1"/>
    <col min="6" max="7" width="10" customWidth="1"/>
    <col min="8" max="8" width="8" customWidth="1"/>
    <col min="9" max="9" width="32" customWidth="1"/>
    <col min="10" max="10"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43.5" customHeight="1" x14ac:dyDescent="0.35">
      <c r="A2" s="15"/>
      <c r="B2" s="124" t="s">
        <v>182</v>
      </c>
      <c r="C2" s="124"/>
      <c r="D2" s="124"/>
      <c r="E2" s="124"/>
      <c r="F2" s="124"/>
      <c r="G2" s="124"/>
      <c r="H2" s="124"/>
      <c r="I2" s="124"/>
      <c r="J2" s="124"/>
      <c r="K2" s="124"/>
      <c r="L2" s="124"/>
      <c r="M2" s="124"/>
      <c r="N2" s="124"/>
      <c r="O2" s="15"/>
      <c r="P2" s="15"/>
      <c r="Q2" s="15"/>
      <c r="R2" s="15"/>
      <c r="S2" s="15"/>
      <c r="T2" s="15"/>
    </row>
    <row r="3" spans="1:20" ht="19.5" customHeight="1" x14ac:dyDescent="0.35">
      <c r="A3" s="15"/>
      <c r="B3" s="125" t="s">
        <v>183</v>
      </c>
      <c r="C3" s="125"/>
      <c r="D3" s="125"/>
      <c r="E3" s="125"/>
      <c r="F3" s="125"/>
      <c r="G3" s="125"/>
      <c r="H3" s="125"/>
      <c r="I3" s="125"/>
      <c r="J3" s="125"/>
      <c r="K3" s="125"/>
      <c r="L3" s="125"/>
      <c r="M3" s="125"/>
      <c r="N3" s="125"/>
      <c r="O3" s="15"/>
      <c r="P3" s="15"/>
      <c r="Q3" s="15"/>
      <c r="R3" s="15"/>
      <c r="S3" s="15"/>
      <c r="T3" s="15"/>
    </row>
    <row r="4" spans="1:20" ht="19.5" customHeight="1" x14ac:dyDescent="0.35">
      <c r="A4" s="15"/>
      <c r="B4" s="15"/>
      <c r="C4" s="15"/>
      <c r="D4" s="15"/>
      <c r="E4" s="15"/>
      <c r="F4" s="15"/>
      <c r="G4" s="15"/>
      <c r="H4" s="15"/>
      <c r="I4" s="15"/>
      <c r="J4" s="15"/>
      <c r="K4" s="15"/>
      <c r="L4" s="15"/>
      <c r="M4" s="15"/>
      <c r="N4" s="15"/>
      <c r="O4" s="15"/>
      <c r="P4" s="15"/>
      <c r="Q4" s="15"/>
      <c r="R4" s="15"/>
      <c r="S4" s="15"/>
      <c r="T4" s="15"/>
    </row>
    <row r="5" spans="1:20" ht="21.75" customHeight="1" x14ac:dyDescent="0.35">
      <c r="A5" s="15"/>
      <c r="B5" s="126" t="s">
        <v>184</v>
      </c>
      <c r="C5" s="126"/>
      <c r="D5" s="126"/>
      <c r="E5" s="126"/>
      <c r="F5" s="126"/>
      <c r="G5" s="126"/>
      <c r="H5" s="126"/>
      <c r="I5" s="126"/>
      <c r="J5" s="15"/>
      <c r="K5" s="15"/>
      <c r="L5" s="15"/>
      <c r="M5" s="15"/>
      <c r="N5" s="15"/>
      <c r="O5" s="15"/>
      <c r="P5" s="15"/>
      <c r="Q5" s="15"/>
      <c r="R5" s="15"/>
      <c r="S5" s="15"/>
      <c r="T5" s="15"/>
    </row>
    <row r="6" spans="1:20" ht="19.5" customHeight="1" x14ac:dyDescent="0.35">
      <c r="A6" s="15"/>
      <c r="B6" s="15"/>
      <c r="C6" s="15"/>
      <c r="D6" s="15"/>
      <c r="E6" s="15"/>
      <c r="F6" s="15"/>
      <c r="G6" s="15"/>
      <c r="H6" s="15"/>
      <c r="I6" s="15"/>
      <c r="J6" s="15"/>
      <c r="K6" s="15"/>
      <c r="L6" s="15"/>
      <c r="M6" s="15"/>
      <c r="N6" s="15"/>
      <c r="O6" s="15"/>
      <c r="P6" s="15"/>
      <c r="Q6" s="15"/>
      <c r="R6" s="15"/>
      <c r="S6" s="15"/>
      <c r="T6" s="15"/>
    </row>
    <row r="7" spans="1:20" ht="30" customHeight="1" x14ac:dyDescent="0.35">
      <c r="A7" s="15"/>
      <c r="B7" s="127" t="s">
        <v>185</v>
      </c>
      <c r="C7" s="127"/>
      <c r="D7" s="127"/>
      <c r="E7" s="127"/>
      <c r="F7" s="127"/>
      <c r="G7" s="127"/>
      <c r="H7" s="127"/>
      <c r="I7" s="127"/>
      <c r="J7" s="127"/>
      <c r="K7" s="127"/>
      <c r="L7" s="127"/>
      <c r="M7" s="127"/>
      <c r="N7" s="127"/>
      <c r="O7" s="15"/>
      <c r="P7" s="15"/>
      <c r="Q7" s="15"/>
      <c r="R7" s="15"/>
      <c r="S7" s="15"/>
      <c r="T7" s="15"/>
    </row>
    <row r="8" spans="1:20" ht="18" customHeight="1" x14ac:dyDescent="0.35">
      <c r="A8" s="15"/>
      <c r="B8" s="128" t="s">
        <v>186</v>
      </c>
      <c r="C8" s="128"/>
      <c r="D8" s="128"/>
      <c r="E8" s="128"/>
      <c r="F8" s="128"/>
      <c r="G8" s="128"/>
      <c r="H8" s="128"/>
      <c r="I8" s="128"/>
      <c r="J8" s="128"/>
      <c r="K8" s="128"/>
      <c r="L8" s="128"/>
      <c r="M8" s="128"/>
      <c r="N8" s="128"/>
      <c r="O8" s="15"/>
      <c r="P8" s="15"/>
      <c r="Q8" s="15"/>
      <c r="R8" s="15"/>
      <c r="S8" s="15"/>
      <c r="T8" s="15"/>
    </row>
    <row r="9" spans="1:20" ht="21.75" customHeight="1" x14ac:dyDescent="0.35">
      <c r="A9" s="15"/>
      <c r="B9" s="25" t="s">
        <v>62</v>
      </c>
      <c r="C9" s="25" t="s">
        <v>63</v>
      </c>
      <c r="D9" s="25" t="s">
        <v>64</v>
      </c>
      <c r="E9" s="25" t="s">
        <v>65</v>
      </c>
      <c r="F9" s="25" t="s">
        <v>66</v>
      </c>
      <c r="G9" s="25" t="s">
        <v>67</v>
      </c>
      <c r="H9" s="25" t="s">
        <v>68</v>
      </c>
      <c r="I9" s="25" t="s">
        <v>69</v>
      </c>
      <c r="J9" s="15"/>
      <c r="K9" s="15"/>
      <c r="L9" s="15"/>
      <c r="M9" s="15"/>
      <c r="N9" s="15"/>
      <c r="O9" s="15"/>
      <c r="P9" s="15"/>
      <c r="Q9" s="15"/>
      <c r="R9" s="15"/>
      <c r="S9" s="15"/>
      <c r="T9" s="15"/>
    </row>
    <row r="10" spans="1:20" ht="25.5" customHeight="1" x14ac:dyDescent="0.35">
      <c r="A10" s="15"/>
      <c r="B10" s="26">
        <v>1</v>
      </c>
      <c r="C10" s="27" t="s">
        <v>125</v>
      </c>
      <c r="D10" s="28" t="s">
        <v>126</v>
      </c>
      <c r="E10" s="29" t="s">
        <v>79</v>
      </c>
      <c r="F10" s="30" t="s">
        <v>187</v>
      </c>
      <c r="G10" s="31" t="s">
        <v>188</v>
      </c>
      <c r="H10" s="42" t="s">
        <v>102</v>
      </c>
      <c r="I10" s="33" t="s">
        <v>189</v>
      </c>
      <c r="J10" s="15"/>
      <c r="K10" s="15"/>
      <c r="L10" s="15"/>
      <c r="M10" s="15"/>
      <c r="N10" s="15"/>
      <c r="O10" s="15"/>
      <c r="P10" s="15"/>
      <c r="Q10" s="15"/>
      <c r="R10" s="15"/>
      <c r="S10" s="15"/>
      <c r="T10" s="15"/>
    </row>
    <row r="11" spans="1:20" ht="25.5" customHeight="1" x14ac:dyDescent="0.35">
      <c r="A11" s="15"/>
      <c r="B11" s="34">
        <v>2</v>
      </c>
      <c r="C11" s="35" t="s">
        <v>70</v>
      </c>
      <c r="D11" s="36" t="s">
        <v>71</v>
      </c>
      <c r="E11" s="37" t="s">
        <v>79</v>
      </c>
      <c r="F11" s="38" t="s">
        <v>187</v>
      </c>
      <c r="G11" s="39" t="s">
        <v>86</v>
      </c>
      <c r="H11" s="32" t="s">
        <v>75</v>
      </c>
      <c r="I11" s="41" t="s">
        <v>190</v>
      </c>
      <c r="J11" s="15"/>
      <c r="K11" s="15"/>
      <c r="L11" s="15"/>
      <c r="M11" s="15"/>
      <c r="N11" s="15"/>
      <c r="O11" s="15"/>
      <c r="P11" s="15"/>
      <c r="Q11" s="15"/>
      <c r="R11" s="15"/>
      <c r="S11" s="15"/>
      <c r="T11" s="15"/>
    </row>
    <row r="12" spans="1:20" ht="25.5" customHeight="1" x14ac:dyDescent="0.35">
      <c r="A12" s="15"/>
      <c r="B12" s="26">
        <v>3</v>
      </c>
      <c r="C12" s="27" t="s">
        <v>106</v>
      </c>
      <c r="D12" s="28" t="s">
        <v>107</v>
      </c>
      <c r="E12" s="29" t="s">
        <v>79</v>
      </c>
      <c r="F12" s="30" t="s">
        <v>187</v>
      </c>
      <c r="G12" s="31" t="s">
        <v>86</v>
      </c>
      <c r="H12" s="32" t="s">
        <v>75</v>
      </c>
      <c r="I12" s="33" t="s">
        <v>191</v>
      </c>
      <c r="J12" s="15"/>
      <c r="K12" s="15"/>
      <c r="L12" s="15"/>
      <c r="M12" s="15"/>
      <c r="N12" s="15"/>
      <c r="O12" s="15"/>
      <c r="P12" s="15"/>
      <c r="Q12" s="15"/>
      <c r="R12" s="15"/>
      <c r="S12" s="15"/>
      <c r="T12" s="15"/>
    </row>
    <row r="13" spans="1:20" ht="25.5" customHeight="1" x14ac:dyDescent="0.35">
      <c r="A13" s="15"/>
      <c r="B13" s="34">
        <v>4</v>
      </c>
      <c r="C13" s="35" t="s">
        <v>84</v>
      </c>
      <c r="D13" s="36" t="s">
        <v>163</v>
      </c>
      <c r="E13" s="37" t="s">
        <v>79</v>
      </c>
      <c r="F13" s="38" t="s">
        <v>100</v>
      </c>
      <c r="G13" s="39" t="s">
        <v>86</v>
      </c>
      <c r="H13" s="40" t="s">
        <v>82</v>
      </c>
      <c r="I13" s="41" t="s">
        <v>192</v>
      </c>
      <c r="J13" s="15"/>
      <c r="K13" s="15"/>
      <c r="L13" s="15"/>
      <c r="M13" s="15"/>
      <c r="N13" s="15"/>
      <c r="O13" s="15"/>
      <c r="P13" s="15"/>
      <c r="Q13" s="15"/>
      <c r="R13" s="15"/>
      <c r="S13" s="15"/>
      <c r="T13" s="15"/>
    </row>
    <row r="14" spans="1:20" ht="25.5" customHeight="1" x14ac:dyDescent="0.35">
      <c r="A14" s="15"/>
      <c r="B14" s="26">
        <v>5</v>
      </c>
      <c r="C14" s="27" t="s">
        <v>139</v>
      </c>
      <c r="D14" s="28" t="s">
        <v>140</v>
      </c>
      <c r="E14" s="29" t="s">
        <v>79</v>
      </c>
      <c r="F14" s="30" t="s">
        <v>100</v>
      </c>
      <c r="G14" s="31" t="s">
        <v>86</v>
      </c>
      <c r="H14" s="42" t="s">
        <v>102</v>
      </c>
      <c r="I14" s="33" t="s">
        <v>193</v>
      </c>
      <c r="J14" s="15"/>
      <c r="K14" s="15"/>
      <c r="L14" s="15"/>
      <c r="M14" s="15"/>
      <c r="N14" s="15"/>
      <c r="O14" s="15"/>
      <c r="P14" s="15"/>
      <c r="Q14" s="15"/>
      <c r="R14" s="15"/>
      <c r="S14" s="15"/>
      <c r="T14" s="15"/>
    </row>
    <row r="15" spans="1:20" ht="25.5" customHeight="1" x14ac:dyDescent="0.35">
      <c r="A15" s="15"/>
      <c r="B15" s="34">
        <v>6</v>
      </c>
      <c r="C15" s="35" t="s">
        <v>176</v>
      </c>
      <c r="D15" s="36" t="s">
        <v>177</v>
      </c>
      <c r="E15" s="37" t="s">
        <v>194</v>
      </c>
      <c r="F15" s="38" t="s">
        <v>100</v>
      </c>
      <c r="G15" s="39" t="s">
        <v>96</v>
      </c>
      <c r="H15" s="40" t="s">
        <v>82</v>
      </c>
      <c r="I15" s="41" t="s">
        <v>195</v>
      </c>
      <c r="J15" s="15"/>
      <c r="K15" s="15"/>
      <c r="L15" s="15"/>
      <c r="M15" s="15"/>
      <c r="N15" s="15"/>
      <c r="O15" s="15"/>
      <c r="P15" s="15"/>
      <c r="Q15" s="15"/>
      <c r="R15" s="15"/>
      <c r="S15" s="15"/>
      <c r="T15" s="15"/>
    </row>
    <row r="16" spans="1:20" ht="25.5" customHeight="1" x14ac:dyDescent="0.35">
      <c r="A16" s="15"/>
      <c r="B16" s="26">
        <v>7</v>
      </c>
      <c r="C16" s="27" t="s">
        <v>93</v>
      </c>
      <c r="D16" s="28" t="s">
        <v>94</v>
      </c>
      <c r="E16" s="29" t="s">
        <v>194</v>
      </c>
      <c r="F16" s="30" t="s">
        <v>100</v>
      </c>
      <c r="G16" s="31" t="s">
        <v>96</v>
      </c>
      <c r="H16" s="40" t="s">
        <v>82</v>
      </c>
      <c r="I16" s="33" t="s">
        <v>196</v>
      </c>
      <c r="J16" s="15"/>
      <c r="K16" s="15"/>
      <c r="L16" s="15"/>
      <c r="M16" s="15"/>
      <c r="N16" s="15"/>
      <c r="O16" s="15"/>
      <c r="P16" s="15"/>
      <c r="Q16" s="15"/>
      <c r="R16" s="15"/>
      <c r="S16" s="15"/>
      <c r="T16" s="15"/>
    </row>
    <row r="17" spans="1:20" ht="19.5" customHeight="1" x14ac:dyDescent="0.35">
      <c r="A17" s="15"/>
      <c r="B17" s="129" t="s">
        <v>104</v>
      </c>
      <c r="C17" s="129"/>
      <c r="D17" s="129"/>
      <c r="E17" s="129"/>
      <c r="F17" s="129"/>
      <c r="G17" s="129"/>
      <c r="H17" s="129"/>
      <c r="I17" s="129"/>
      <c r="J17" s="129"/>
      <c r="K17" s="129"/>
      <c r="L17" s="129"/>
      <c r="M17" s="129"/>
      <c r="N17" s="129"/>
      <c r="O17" s="15"/>
      <c r="P17" s="15"/>
      <c r="Q17" s="15"/>
      <c r="R17" s="15"/>
      <c r="S17" s="15"/>
      <c r="T17" s="15"/>
    </row>
    <row r="18" spans="1:20" ht="19.5" customHeight="1" x14ac:dyDescent="0.35">
      <c r="A18" s="15"/>
      <c r="B18" s="15"/>
      <c r="C18" s="15"/>
      <c r="D18" s="15"/>
      <c r="E18" s="15"/>
      <c r="F18" s="15"/>
      <c r="G18" s="15"/>
      <c r="H18" s="15"/>
      <c r="I18" s="15"/>
      <c r="J18" s="15"/>
      <c r="K18" s="15"/>
      <c r="L18" s="15"/>
      <c r="M18" s="15"/>
      <c r="N18" s="15"/>
      <c r="O18" s="15"/>
      <c r="P18" s="15"/>
      <c r="Q18" s="15"/>
      <c r="R18" s="15"/>
      <c r="S18" s="15"/>
      <c r="T18" s="15"/>
    </row>
    <row r="19" spans="1:20" ht="24" customHeight="1" x14ac:dyDescent="0.35">
      <c r="A19" s="15"/>
      <c r="B19" s="139" t="s">
        <v>197</v>
      </c>
      <c r="C19" s="139"/>
      <c r="D19" s="139"/>
      <c r="E19" s="139"/>
      <c r="F19" s="139"/>
      <c r="G19" s="139"/>
      <c r="H19" s="139"/>
      <c r="I19" s="139"/>
      <c r="J19" s="15"/>
      <c r="K19" s="15"/>
      <c r="L19" s="15"/>
      <c r="M19" s="15"/>
      <c r="N19" s="15"/>
      <c r="O19" s="15"/>
      <c r="P19" s="15"/>
      <c r="Q19" s="15"/>
      <c r="R19" s="15"/>
      <c r="S19" s="15"/>
      <c r="T19" s="15"/>
    </row>
    <row r="20" spans="1:20" ht="19.5" customHeight="1" x14ac:dyDescent="0.35">
      <c r="A20" s="15"/>
      <c r="B20" s="15"/>
      <c r="C20" s="15"/>
      <c r="D20" s="15"/>
      <c r="E20" s="15"/>
      <c r="F20" s="15"/>
      <c r="G20" s="15"/>
      <c r="H20" s="15"/>
      <c r="I20" s="15"/>
      <c r="J20" s="15"/>
      <c r="K20" s="15"/>
      <c r="L20" s="15"/>
      <c r="M20" s="15"/>
      <c r="N20" s="15"/>
      <c r="O20" s="15"/>
      <c r="P20" s="15"/>
      <c r="Q20" s="15"/>
      <c r="R20" s="15"/>
      <c r="S20" s="15"/>
      <c r="T20" s="15"/>
    </row>
    <row r="21" spans="1:20" ht="30" customHeight="1" x14ac:dyDescent="0.35">
      <c r="A21" s="15"/>
      <c r="B21" s="130" t="s">
        <v>198</v>
      </c>
      <c r="C21" s="130"/>
      <c r="D21" s="130"/>
      <c r="E21" s="130"/>
      <c r="F21" s="130"/>
      <c r="G21" s="130"/>
      <c r="H21" s="130"/>
      <c r="I21" s="130"/>
      <c r="J21" s="130"/>
      <c r="K21" s="130"/>
      <c r="L21" s="130"/>
      <c r="M21" s="130"/>
      <c r="N21" s="130"/>
      <c r="O21" s="15"/>
      <c r="P21" s="15"/>
      <c r="Q21" s="15"/>
      <c r="R21" s="15"/>
      <c r="S21" s="15"/>
      <c r="T21" s="15"/>
    </row>
    <row r="22" spans="1:20" ht="18" customHeight="1" x14ac:dyDescent="0.35">
      <c r="A22" s="15"/>
      <c r="B22" s="131" t="s">
        <v>199</v>
      </c>
      <c r="C22" s="131"/>
      <c r="D22" s="131"/>
      <c r="E22" s="131"/>
      <c r="F22" s="131"/>
      <c r="G22" s="131"/>
      <c r="H22" s="131"/>
      <c r="I22" s="131"/>
      <c r="J22" s="131"/>
      <c r="K22" s="131"/>
      <c r="L22" s="131"/>
      <c r="M22" s="131"/>
      <c r="N22" s="131"/>
      <c r="O22" s="15"/>
      <c r="P22" s="15"/>
      <c r="Q22" s="15"/>
      <c r="R22" s="15"/>
      <c r="S22" s="15"/>
      <c r="T22" s="15"/>
    </row>
    <row r="23" spans="1:20" ht="21.75" customHeight="1" x14ac:dyDescent="0.35">
      <c r="A23" s="15"/>
      <c r="B23" s="25" t="s">
        <v>62</v>
      </c>
      <c r="C23" s="25" t="s">
        <v>63</v>
      </c>
      <c r="D23" s="25" t="s">
        <v>64</v>
      </c>
      <c r="E23" s="25" t="s">
        <v>65</v>
      </c>
      <c r="F23" s="25" t="s">
        <v>66</v>
      </c>
      <c r="G23" s="25" t="s">
        <v>67</v>
      </c>
      <c r="H23" s="25" t="s">
        <v>68</v>
      </c>
      <c r="I23" s="25" t="s">
        <v>69</v>
      </c>
      <c r="J23" s="15"/>
      <c r="K23" s="15"/>
      <c r="L23" s="15"/>
      <c r="M23" s="15"/>
      <c r="N23" s="15"/>
      <c r="O23" s="15"/>
      <c r="P23" s="15"/>
      <c r="Q23" s="15"/>
      <c r="R23" s="15"/>
      <c r="S23" s="15"/>
      <c r="T23" s="15"/>
    </row>
    <row r="24" spans="1:20" ht="25.5" customHeight="1" x14ac:dyDescent="0.35">
      <c r="A24" s="15"/>
      <c r="B24" s="26">
        <v>1</v>
      </c>
      <c r="C24" s="27" t="s">
        <v>153</v>
      </c>
      <c r="D24" s="28" t="s">
        <v>71</v>
      </c>
      <c r="E24" s="29" t="s">
        <v>72</v>
      </c>
      <c r="F24" s="30" t="s">
        <v>100</v>
      </c>
      <c r="G24" s="31" t="s">
        <v>86</v>
      </c>
      <c r="H24" s="32" t="s">
        <v>75</v>
      </c>
      <c r="I24" s="33" t="s">
        <v>200</v>
      </c>
      <c r="J24" s="15"/>
      <c r="K24" s="15"/>
      <c r="L24" s="15"/>
      <c r="M24" s="15"/>
      <c r="N24" s="15"/>
      <c r="O24" s="15"/>
      <c r="P24" s="15"/>
      <c r="Q24" s="15"/>
      <c r="R24" s="15"/>
      <c r="S24" s="15"/>
      <c r="T24" s="15"/>
    </row>
    <row r="25" spans="1:20" ht="25.5" customHeight="1" x14ac:dyDescent="0.35">
      <c r="A25" s="15"/>
      <c r="B25" s="34">
        <v>2</v>
      </c>
      <c r="C25" s="35" t="s">
        <v>201</v>
      </c>
      <c r="D25" s="36" t="s">
        <v>78</v>
      </c>
      <c r="E25" s="37" t="s">
        <v>79</v>
      </c>
      <c r="F25" s="38" t="s">
        <v>80</v>
      </c>
      <c r="G25" s="39" t="s">
        <v>96</v>
      </c>
      <c r="H25" s="40" t="s">
        <v>82</v>
      </c>
      <c r="I25" s="41" t="s">
        <v>202</v>
      </c>
      <c r="J25" s="15"/>
      <c r="K25" s="15"/>
      <c r="L25" s="15"/>
      <c r="M25" s="15"/>
      <c r="N25" s="15"/>
      <c r="O25" s="15"/>
      <c r="P25" s="15"/>
      <c r="Q25" s="15"/>
      <c r="R25" s="15"/>
      <c r="S25" s="15"/>
      <c r="T25" s="15"/>
    </row>
    <row r="26" spans="1:20" ht="25.5" customHeight="1" x14ac:dyDescent="0.35">
      <c r="A26" s="15"/>
      <c r="B26" s="26">
        <v>3</v>
      </c>
      <c r="C26" s="27" t="s">
        <v>109</v>
      </c>
      <c r="D26" s="28" t="s">
        <v>110</v>
      </c>
      <c r="E26" s="29" t="s">
        <v>72</v>
      </c>
      <c r="F26" s="30" t="s">
        <v>100</v>
      </c>
      <c r="G26" s="31" t="s">
        <v>86</v>
      </c>
      <c r="H26" s="32" t="s">
        <v>75</v>
      </c>
      <c r="I26" s="33" t="s">
        <v>203</v>
      </c>
      <c r="J26" s="15"/>
      <c r="K26" s="15"/>
      <c r="L26" s="15"/>
      <c r="M26" s="15"/>
      <c r="N26" s="15"/>
      <c r="O26" s="15"/>
      <c r="P26" s="15"/>
      <c r="Q26" s="15"/>
      <c r="R26" s="15"/>
      <c r="S26" s="15"/>
      <c r="T26" s="15"/>
    </row>
    <row r="27" spans="1:20" ht="25.5" customHeight="1" x14ac:dyDescent="0.35">
      <c r="A27" s="15"/>
      <c r="B27" s="34">
        <v>4</v>
      </c>
      <c r="C27" s="35" t="s">
        <v>204</v>
      </c>
      <c r="D27" s="36" t="s">
        <v>89</v>
      </c>
      <c r="E27" s="37" t="s">
        <v>72</v>
      </c>
      <c r="F27" s="38" t="s">
        <v>90</v>
      </c>
      <c r="G27" s="39" t="s">
        <v>148</v>
      </c>
      <c r="H27" s="40" t="s">
        <v>82</v>
      </c>
      <c r="I27" s="41" t="s">
        <v>205</v>
      </c>
      <c r="J27" s="15"/>
      <c r="K27" s="15"/>
      <c r="L27" s="15"/>
      <c r="M27" s="15"/>
      <c r="N27" s="15"/>
      <c r="O27" s="15"/>
      <c r="P27" s="15"/>
      <c r="Q27" s="15"/>
      <c r="R27" s="15"/>
      <c r="S27" s="15"/>
      <c r="T27" s="15"/>
    </row>
    <row r="28" spans="1:20" ht="25.5" customHeight="1" x14ac:dyDescent="0.35">
      <c r="A28" s="15"/>
      <c r="B28" s="26">
        <v>5</v>
      </c>
      <c r="C28" s="27" t="s">
        <v>115</v>
      </c>
      <c r="D28" s="28" t="s">
        <v>116</v>
      </c>
      <c r="E28" s="29" t="s">
        <v>79</v>
      </c>
      <c r="F28" s="30" t="s">
        <v>80</v>
      </c>
      <c r="G28" s="31" t="s">
        <v>96</v>
      </c>
      <c r="H28" s="40" t="s">
        <v>82</v>
      </c>
      <c r="I28" s="33" t="s">
        <v>206</v>
      </c>
      <c r="J28" s="15"/>
      <c r="K28" s="15"/>
      <c r="L28" s="15"/>
      <c r="M28" s="15"/>
      <c r="N28" s="15"/>
      <c r="O28" s="15"/>
      <c r="P28" s="15"/>
      <c r="Q28" s="15"/>
      <c r="R28" s="15"/>
      <c r="S28" s="15"/>
      <c r="T28" s="15"/>
    </row>
    <row r="29" spans="1:20" ht="25.5" customHeight="1" x14ac:dyDescent="0.35">
      <c r="A29" s="15"/>
      <c r="B29" s="34">
        <v>6</v>
      </c>
      <c r="C29" s="35" t="s">
        <v>118</v>
      </c>
      <c r="D29" s="36" t="s">
        <v>177</v>
      </c>
      <c r="E29" s="37" t="s">
        <v>79</v>
      </c>
      <c r="F29" s="38" t="s">
        <v>95</v>
      </c>
      <c r="G29" s="39" t="s">
        <v>96</v>
      </c>
      <c r="H29" s="40" t="s">
        <v>82</v>
      </c>
      <c r="I29" s="41" t="s">
        <v>207</v>
      </c>
      <c r="J29" s="15"/>
      <c r="K29" s="15"/>
      <c r="L29" s="15"/>
      <c r="M29" s="15"/>
      <c r="N29" s="15"/>
      <c r="O29" s="15"/>
      <c r="P29" s="15"/>
      <c r="Q29" s="15"/>
      <c r="R29" s="15"/>
      <c r="S29" s="15"/>
      <c r="T29" s="15"/>
    </row>
    <row r="30" spans="1:20" ht="25.5" customHeight="1" x14ac:dyDescent="0.35">
      <c r="A30" s="15"/>
      <c r="B30" s="26">
        <v>7</v>
      </c>
      <c r="C30" s="27" t="s">
        <v>98</v>
      </c>
      <c r="D30" s="28" t="s">
        <v>94</v>
      </c>
      <c r="E30" s="29" t="s">
        <v>79</v>
      </c>
      <c r="F30" s="30" t="s">
        <v>100</v>
      </c>
      <c r="G30" s="31" t="s">
        <v>101</v>
      </c>
      <c r="H30" s="40" t="s">
        <v>82</v>
      </c>
      <c r="I30" s="33" t="s">
        <v>208</v>
      </c>
      <c r="J30" s="15"/>
      <c r="K30" s="15"/>
      <c r="L30" s="15"/>
      <c r="M30" s="15"/>
      <c r="N30" s="15"/>
      <c r="O30" s="15"/>
      <c r="P30" s="15"/>
      <c r="Q30" s="15"/>
      <c r="R30" s="15"/>
      <c r="S30" s="15"/>
      <c r="T30" s="15"/>
    </row>
    <row r="31" spans="1:20" ht="19.5" customHeight="1" x14ac:dyDescent="0.35">
      <c r="A31" s="15"/>
      <c r="B31" s="129" t="s">
        <v>104</v>
      </c>
      <c r="C31" s="129"/>
      <c r="D31" s="129"/>
      <c r="E31" s="129"/>
      <c r="F31" s="129"/>
      <c r="G31" s="129"/>
      <c r="H31" s="129"/>
      <c r="I31" s="129"/>
      <c r="J31" s="129"/>
      <c r="K31" s="129"/>
      <c r="L31" s="129"/>
      <c r="M31" s="129"/>
      <c r="N31" s="129"/>
      <c r="O31" s="15"/>
      <c r="P31" s="15"/>
      <c r="Q31" s="15"/>
      <c r="R31" s="15"/>
      <c r="S31" s="15"/>
      <c r="T31" s="15"/>
    </row>
    <row r="32" spans="1:20" ht="19.5" customHeight="1" x14ac:dyDescent="0.35">
      <c r="A32" s="15"/>
      <c r="B32" s="15"/>
      <c r="C32" s="15"/>
      <c r="D32" s="15"/>
      <c r="E32" s="15"/>
      <c r="F32" s="15"/>
      <c r="G32" s="15"/>
      <c r="H32" s="15"/>
      <c r="I32" s="15"/>
      <c r="J32" s="15"/>
      <c r="K32" s="15"/>
      <c r="L32" s="15"/>
      <c r="M32" s="15"/>
      <c r="N32" s="15"/>
      <c r="O32" s="15"/>
      <c r="P32" s="15"/>
      <c r="Q32" s="15"/>
      <c r="R32" s="15"/>
      <c r="S32" s="15"/>
      <c r="T32" s="15"/>
    </row>
    <row r="33" spans="1:20" ht="24" customHeight="1" x14ac:dyDescent="0.35">
      <c r="A33" s="15"/>
      <c r="B33" s="139" t="s">
        <v>209</v>
      </c>
      <c r="C33" s="139"/>
      <c r="D33" s="139"/>
      <c r="E33" s="139"/>
      <c r="F33" s="139"/>
      <c r="G33" s="139"/>
      <c r="H33" s="139"/>
      <c r="I33" s="139"/>
      <c r="J33" s="15"/>
      <c r="K33" s="15"/>
      <c r="L33" s="15"/>
      <c r="M33" s="15"/>
      <c r="N33" s="15"/>
      <c r="O33" s="15"/>
      <c r="P33" s="15"/>
      <c r="Q33" s="15"/>
      <c r="R33" s="15"/>
      <c r="S33" s="15"/>
      <c r="T33" s="15"/>
    </row>
    <row r="34" spans="1:20" ht="19.5" customHeight="1" x14ac:dyDescent="0.35">
      <c r="A34" s="15"/>
      <c r="B34" s="15"/>
      <c r="C34" s="15"/>
      <c r="D34" s="15"/>
      <c r="E34" s="15"/>
      <c r="F34" s="15"/>
      <c r="G34" s="15"/>
      <c r="H34" s="15"/>
      <c r="I34" s="15"/>
      <c r="J34" s="15"/>
      <c r="K34" s="15"/>
      <c r="L34" s="15"/>
      <c r="M34" s="15"/>
      <c r="N34" s="15"/>
      <c r="O34" s="15"/>
      <c r="P34" s="15"/>
      <c r="Q34" s="15"/>
      <c r="R34" s="15"/>
      <c r="S34" s="15"/>
      <c r="T34" s="15"/>
    </row>
    <row r="35" spans="1:20" ht="30" customHeight="1" x14ac:dyDescent="0.35">
      <c r="A35" s="15"/>
      <c r="B35" s="132" t="s">
        <v>210</v>
      </c>
      <c r="C35" s="132"/>
      <c r="D35" s="132"/>
      <c r="E35" s="132"/>
      <c r="F35" s="132"/>
      <c r="G35" s="132"/>
      <c r="H35" s="132"/>
      <c r="I35" s="132"/>
      <c r="J35" s="132"/>
      <c r="K35" s="132"/>
      <c r="L35" s="132"/>
      <c r="M35" s="132"/>
      <c r="N35" s="132"/>
      <c r="O35" s="15"/>
      <c r="P35" s="15"/>
      <c r="Q35" s="15"/>
      <c r="R35" s="15"/>
      <c r="S35" s="15"/>
      <c r="T35" s="15"/>
    </row>
    <row r="36" spans="1:20" ht="18" customHeight="1" x14ac:dyDescent="0.35">
      <c r="A36" s="15"/>
      <c r="B36" s="133" t="s">
        <v>211</v>
      </c>
      <c r="C36" s="133"/>
      <c r="D36" s="133"/>
      <c r="E36" s="133"/>
      <c r="F36" s="133"/>
      <c r="G36" s="133"/>
      <c r="H36" s="133"/>
      <c r="I36" s="133"/>
      <c r="J36" s="133"/>
      <c r="K36" s="133"/>
      <c r="L36" s="133"/>
      <c r="M36" s="133"/>
      <c r="N36" s="133"/>
      <c r="O36" s="15"/>
      <c r="P36" s="15"/>
      <c r="Q36" s="15"/>
      <c r="R36" s="15"/>
      <c r="S36" s="15"/>
      <c r="T36" s="15"/>
    </row>
    <row r="37" spans="1:20" ht="21.75" customHeight="1" x14ac:dyDescent="0.35">
      <c r="A37" s="15"/>
      <c r="B37" s="25" t="s">
        <v>62</v>
      </c>
      <c r="C37" s="25" t="s">
        <v>63</v>
      </c>
      <c r="D37" s="25" t="s">
        <v>64</v>
      </c>
      <c r="E37" s="25" t="s">
        <v>65</v>
      </c>
      <c r="F37" s="25" t="s">
        <v>66</v>
      </c>
      <c r="G37" s="25" t="s">
        <v>67</v>
      </c>
      <c r="H37" s="25" t="s">
        <v>68</v>
      </c>
      <c r="I37" s="25" t="s">
        <v>69</v>
      </c>
      <c r="J37" s="15"/>
      <c r="K37" s="15"/>
      <c r="L37" s="15"/>
      <c r="M37" s="15"/>
      <c r="N37" s="15"/>
      <c r="O37" s="15"/>
      <c r="P37" s="15"/>
      <c r="Q37" s="15"/>
      <c r="R37" s="15"/>
      <c r="S37" s="15"/>
      <c r="T37" s="15"/>
    </row>
    <row r="38" spans="1:20" ht="25.5" customHeight="1" x14ac:dyDescent="0.35">
      <c r="A38" s="15"/>
      <c r="B38" s="26">
        <v>1</v>
      </c>
      <c r="C38" s="27" t="s">
        <v>167</v>
      </c>
      <c r="D38" s="28" t="s">
        <v>168</v>
      </c>
      <c r="E38" s="29" t="s">
        <v>127</v>
      </c>
      <c r="F38" s="30" t="s">
        <v>100</v>
      </c>
      <c r="G38" s="31" t="s">
        <v>86</v>
      </c>
      <c r="H38" s="32" t="s">
        <v>75</v>
      </c>
      <c r="I38" s="33" t="s">
        <v>212</v>
      </c>
      <c r="J38" s="15"/>
      <c r="K38" s="15"/>
      <c r="L38" s="15"/>
      <c r="M38" s="15"/>
      <c r="N38" s="15"/>
      <c r="O38" s="15"/>
      <c r="P38" s="15"/>
      <c r="Q38" s="15"/>
      <c r="R38" s="15"/>
      <c r="S38" s="15"/>
      <c r="T38" s="15"/>
    </row>
    <row r="39" spans="1:20" ht="25.5" customHeight="1" x14ac:dyDescent="0.35">
      <c r="A39" s="15"/>
      <c r="B39" s="34">
        <v>2</v>
      </c>
      <c r="C39" s="35" t="s">
        <v>130</v>
      </c>
      <c r="D39" s="36" t="s">
        <v>131</v>
      </c>
      <c r="E39" s="37" t="s">
        <v>79</v>
      </c>
      <c r="F39" s="38" t="s">
        <v>100</v>
      </c>
      <c r="G39" s="39" t="s">
        <v>74</v>
      </c>
      <c r="H39" s="32" t="s">
        <v>75</v>
      </c>
      <c r="I39" s="41" t="s">
        <v>213</v>
      </c>
      <c r="J39" s="15"/>
      <c r="K39" s="15"/>
      <c r="L39" s="15"/>
      <c r="M39" s="15"/>
      <c r="N39" s="15"/>
      <c r="O39" s="15"/>
      <c r="P39" s="15"/>
      <c r="Q39" s="15"/>
      <c r="R39" s="15"/>
      <c r="S39" s="15"/>
      <c r="T39" s="15"/>
    </row>
    <row r="40" spans="1:20" ht="25.5" customHeight="1" x14ac:dyDescent="0.35">
      <c r="A40" s="15"/>
      <c r="B40" s="26">
        <v>3</v>
      </c>
      <c r="C40" s="27" t="s">
        <v>214</v>
      </c>
      <c r="D40" s="28" t="s">
        <v>134</v>
      </c>
      <c r="E40" s="29" t="s">
        <v>79</v>
      </c>
      <c r="F40" s="30" t="s">
        <v>80</v>
      </c>
      <c r="G40" s="31" t="s">
        <v>96</v>
      </c>
      <c r="H40" s="40" t="s">
        <v>82</v>
      </c>
      <c r="I40" s="33" t="s">
        <v>215</v>
      </c>
      <c r="J40" s="15"/>
      <c r="K40" s="15"/>
      <c r="L40" s="15"/>
      <c r="M40" s="15"/>
      <c r="N40" s="15"/>
      <c r="O40" s="15"/>
      <c r="P40" s="15"/>
      <c r="Q40" s="15"/>
      <c r="R40" s="15"/>
      <c r="S40" s="15"/>
      <c r="T40" s="15"/>
    </row>
    <row r="41" spans="1:20" ht="25.5" customHeight="1" x14ac:dyDescent="0.35">
      <c r="A41" s="15"/>
      <c r="B41" s="34">
        <v>4</v>
      </c>
      <c r="C41" s="35" t="s">
        <v>216</v>
      </c>
      <c r="D41" s="36" t="s">
        <v>137</v>
      </c>
      <c r="E41" s="37" t="s">
        <v>79</v>
      </c>
      <c r="F41" s="38" t="s">
        <v>80</v>
      </c>
      <c r="G41" s="39" t="s">
        <v>96</v>
      </c>
      <c r="H41" s="40" t="s">
        <v>82</v>
      </c>
      <c r="I41" s="41" t="s">
        <v>217</v>
      </c>
      <c r="J41" s="15"/>
      <c r="K41" s="15"/>
      <c r="L41" s="15"/>
      <c r="M41" s="15"/>
      <c r="N41" s="15"/>
      <c r="O41" s="15"/>
      <c r="P41" s="15"/>
      <c r="Q41" s="15"/>
      <c r="R41" s="15"/>
      <c r="S41" s="15"/>
      <c r="T41" s="15"/>
    </row>
    <row r="42" spans="1:20" ht="25.5" customHeight="1" x14ac:dyDescent="0.35">
      <c r="A42" s="15"/>
      <c r="B42" s="26">
        <v>5</v>
      </c>
      <c r="C42" s="27" t="s">
        <v>139</v>
      </c>
      <c r="D42" s="28" t="s">
        <v>140</v>
      </c>
      <c r="E42" s="29" t="s">
        <v>79</v>
      </c>
      <c r="F42" s="30" t="s">
        <v>80</v>
      </c>
      <c r="G42" s="31" t="s">
        <v>101</v>
      </c>
      <c r="H42" s="40" t="s">
        <v>82</v>
      </c>
      <c r="I42" s="33" t="s">
        <v>218</v>
      </c>
      <c r="J42" s="15"/>
      <c r="K42" s="15"/>
      <c r="L42" s="15"/>
      <c r="M42" s="15"/>
      <c r="N42" s="15"/>
      <c r="O42" s="15"/>
      <c r="P42" s="15"/>
      <c r="Q42" s="15"/>
      <c r="R42" s="15"/>
      <c r="S42" s="15"/>
      <c r="T42" s="15"/>
    </row>
    <row r="43" spans="1:20" ht="25.5" customHeight="1" x14ac:dyDescent="0.35">
      <c r="A43" s="15"/>
      <c r="B43" s="34">
        <v>6</v>
      </c>
      <c r="C43" s="35" t="s">
        <v>142</v>
      </c>
      <c r="D43" s="36" t="s">
        <v>143</v>
      </c>
      <c r="E43" s="37" t="s">
        <v>79</v>
      </c>
      <c r="F43" s="38" t="s">
        <v>80</v>
      </c>
      <c r="G43" s="39" t="s">
        <v>148</v>
      </c>
      <c r="H43" s="40" t="s">
        <v>82</v>
      </c>
      <c r="I43" s="41" t="s">
        <v>219</v>
      </c>
      <c r="J43" s="15"/>
      <c r="K43" s="15"/>
      <c r="L43" s="15"/>
      <c r="M43" s="15"/>
      <c r="N43" s="15"/>
      <c r="O43" s="15"/>
      <c r="P43" s="15"/>
      <c r="Q43" s="15"/>
      <c r="R43" s="15"/>
      <c r="S43" s="15"/>
      <c r="T43" s="15"/>
    </row>
    <row r="44" spans="1:20" ht="25.5" customHeight="1" x14ac:dyDescent="0.35">
      <c r="A44" s="15"/>
      <c r="B44" s="26">
        <v>7</v>
      </c>
      <c r="C44" s="27" t="s">
        <v>145</v>
      </c>
      <c r="D44" s="28" t="s">
        <v>146</v>
      </c>
      <c r="E44" s="29" t="s">
        <v>79</v>
      </c>
      <c r="F44" s="30" t="s">
        <v>147</v>
      </c>
      <c r="G44" s="31" t="s">
        <v>148</v>
      </c>
      <c r="H44" s="40" t="s">
        <v>82</v>
      </c>
      <c r="I44" s="33" t="s">
        <v>220</v>
      </c>
      <c r="J44" s="15"/>
      <c r="K44" s="15"/>
      <c r="L44" s="15"/>
      <c r="M44" s="15"/>
      <c r="N44" s="15"/>
      <c r="O44" s="15"/>
      <c r="P44" s="15"/>
      <c r="Q44" s="15"/>
      <c r="R44" s="15"/>
      <c r="S44" s="15"/>
      <c r="T44" s="15"/>
    </row>
    <row r="45" spans="1:20" ht="19.5" customHeight="1" x14ac:dyDescent="0.35">
      <c r="A45" s="15"/>
      <c r="B45" s="129" t="s">
        <v>104</v>
      </c>
      <c r="C45" s="129"/>
      <c r="D45" s="129"/>
      <c r="E45" s="129"/>
      <c r="F45" s="129"/>
      <c r="G45" s="129"/>
      <c r="H45" s="129"/>
      <c r="I45" s="129"/>
      <c r="J45" s="129"/>
      <c r="K45" s="129"/>
      <c r="L45" s="129"/>
      <c r="M45" s="129"/>
      <c r="N45" s="129"/>
      <c r="O45" s="15"/>
      <c r="P45" s="15"/>
      <c r="Q45" s="15"/>
      <c r="R45" s="15"/>
      <c r="S45" s="15"/>
      <c r="T45" s="15"/>
    </row>
    <row r="46" spans="1:20" ht="19.5" customHeight="1" x14ac:dyDescent="0.35">
      <c r="A46" s="15"/>
      <c r="B46" s="15"/>
      <c r="C46" s="15"/>
      <c r="D46" s="15"/>
      <c r="E46" s="15"/>
      <c r="F46" s="15"/>
      <c r="G46" s="15"/>
      <c r="H46" s="15"/>
      <c r="I46" s="15"/>
      <c r="J46" s="15"/>
      <c r="K46" s="15"/>
      <c r="L46" s="15"/>
      <c r="M46" s="15"/>
      <c r="N46" s="15"/>
      <c r="O46" s="15"/>
      <c r="P46" s="15"/>
      <c r="Q46" s="15"/>
      <c r="R46" s="15"/>
      <c r="S46" s="15"/>
      <c r="T46" s="15"/>
    </row>
    <row r="47" spans="1:20" ht="24" customHeight="1" x14ac:dyDescent="0.35">
      <c r="A47" s="15"/>
      <c r="B47" s="139" t="s">
        <v>221</v>
      </c>
      <c r="C47" s="139"/>
      <c r="D47" s="139"/>
      <c r="E47" s="139"/>
      <c r="F47" s="139"/>
      <c r="G47" s="139"/>
      <c r="H47" s="139"/>
      <c r="I47" s="139"/>
      <c r="J47" s="15"/>
      <c r="K47" s="15"/>
      <c r="L47" s="15"/>
      <c r="M47" s="15"/>
      <c r="N47" s="15"/>
      <c r="O47" s="15"/>
      <c r="P47" s="15"/>
      <c r="Q47" s="15"/>
      <c r="R47" s="15"/>
      <c r="S47" s="15"/>
      <c r="T47" s="15"/>
    </row>
    <row r="48" spans="1:20" ht="19.5" customHeight="1" x14ac:dyDescent="0.35">
      <c r="A48" s="15"/>
      <c r="B48" s="15"/>
      <c r="C48" s="15"/>
      <c r="D48" s="15"/>
      <c r="E48" s="15"/>
      <c r="F48" s="15"/>
      <c r="G48" s="15"/>
      <c r="H48" s="15"/>
      <c r="I48" s="15"/>
      <c r="J48" s="15"/>
      <c r="K48" s="15"/>
      <c r="L48" s="15"/>
      <c r="M48" s="15"/>
      <c r="N48" s="15"/>
      <c r="O48" s="15"/>
      <c r="P48" s="15"/>
      <c r="Q48" s="15"/>
      <c r="R48" s="15"/>
      <c r="S48" s="15"/>
      <c r="T48" s="15"/>
    </row>
    <row r="49" spans="1:20" ht="19.5" customHeight="1" x14ac:dyDescent="0.35">
      <c r="A49" s="15"/>
      <c r="B49" s="15"/>
      <c r="C49" s="15"/>
      <c r="D49" s="15"/>
      <c r="E49" s="15"/>
      <c r="F49" s="15"/>
      <c r="G49" s="15"/>
      <c r="H49" s="15"/>
      <c r="I49" s="15"/>
      <c r="J49" s="15"/>
      <c r="K49" s="15"/>
      <c r="L49" s="15"/>
      <c r="M49" s="15"/>
      <c r="N49" s="15"/>
      <c r="O49" s="15"/>
      <c r="P49" s="15"/>
      <c r="Q49" s="15"/>
      <c r="R49" s="15"/>
      <c r="S49" s="15"/>
      <c r="T49" s="15"/>
    </row>
    <row r="50" spans="1:20" ht="19.5" customHeight="1" x14ac:dyDescent="0.35">
      <c r="A50" s="15"/>
      <c r="B50" s="15"/>
      <c r="C50" s="15"/>
      <c r="D50" s="15"/>
      <c r="E50" s="15"/>
      <c r="F50" s="15"/>
      <c r="G50" s="15"/>
      <c r="H50" s="15"/>
      <c r="I50" s="15"/>
      <c r="J50" s="15"/>
      <c r="K50" s="15"/>
      <c r="L50" s="15"/>
      <c r="M50" s="15"/>
      <c r="N50" s="15"/>
      <c r="O50" s="15"/>
      <c r="P50" s="15"/>
      <c r="Q50" s="15"/>
      <c r="R50" s="15"/>
      <c r="S50" s="15"/>
      <c r="T50" s="15"/>
    </row>
    <row r="51" spans="1:20" ht="19.5" customHeight="1" x14ac:dyDescent="0.35">
      <c r="A51" s="15"/>
      <c r="B51" s="15"/>
      <c r="C51" s="15"/>
      <c r="D51" s="15"/>
      <c r="E51" s="15"/>
      <c r="F51" s="15"/>
      <c r="G51" s="15"/>
      <c r="H51" s="15"/>
      <c r="I51" s="15"/>
      <c r="J51" s="15"/>
      <c r="K51" s="15"/>
      <c r="L51" s="15"/>
      <c r="M51" s="15"/>
      <c r="N51" s="15"/>
      <c r="O51" s="15"/>
      <c r="P51" s="15"/>
      <c r="Q51" s="15"/>
      <c r="R51" s="15"/>
      <c r="S51" s="15"/>
      <c r="T51" s="15"/>
    </row>
    <row r="52" spans="1:20" ht="19.5" customHeight="1" x14ac:dyDescent="0.35">
      <c r="A52" s="15"/>
      <c r="B52" s="15"/>
      <c r="C52" s="15"/>
      <c r="D52" s="15"/>
      <c r="E52" s="15"/>
      <c r="F52" s="15"/>
      <c r="G52" s="15"/>
      <c r="H52" s="15"/>
      <c r="I52" s="15"/>
      <c r="J52" s="15"/>
      <c r="K52" s="15"/>
      <c r="L52" s="15"/>
      <c r="M52" s="15"/>
      <c r="N52" s="15"/>
      <c r="O52" s="15"/>
      <c r="P52" s="15"/>
      <c r="Q52" s="15"/>
      <c r="R52" s="15"/>
      <c r="S52" s="15"/>
      <c r="T52" s="15"/>
    </row>
    <row r="53" spans="1:20" ht="19.5" customHeight="1" x14ac:dyDescent="0.35">
      <c r="A53" s="15"/>
      <c r="B53" s="15"/>
      <c r="C53" s="15"/>
      <c r="D53" s="15"/>
      <c r="E53" s="15"/>
      <c r="F53" s="15"/>
      <c r="G53" s="15"/>
      <c r="H53" s="15"/>
      <c r="I53" s="15"/>
      <c r="J53" s="15"/>
      <c r="K53" s="15"/>
      <c r="L53" s="15"/>
      <c r="M53" s="15"/>
      <c r="N53" s="15"/>
      <c r="O53" s="15"/>
      <c r="P53" s="15"/>
      <c r="Q53" s="15"/>
      <c r="R53" s="15"/>
      <c r="S53" s="15"/>
      <c r="T53" s="15"/>
    </row>
    <row r="54" spans="1:20" ht="19.5" customHeight="1" x14ac:dyDescent="0.35">
      <c r="A54" s="15"/>
      <c r="B54" s="15"/>
      <c r="C54" s="15"/>
      <c r="D54" s="15"/>
      <c r="E54" s="15"/>
      <c r="F54" s="15"/>
      <c r="G54" s="15"/>
      <c r="H54" s="15"/>
      <c r="I54" s="15"/>
      <c r="J54" s="15"/>
      <c r="K54" s="15"/>
      <c r="L54" s="15"/>
      <c r="M54" s="15"/>
      <c r="N54" s="15"/>
      <c r="O54" s="15"/>
      <c r="P54" s="15"/>
      <c r="Q54" s="15"/>
      <c r="R54" s="15"/>
      <c r="S54" s="15"/>
      <c r="T54" s="15"/>
    </row>
    <row r="55" spans="1:20" ht="19.5" customHeight="1" x14ac:dyDescent="0.35">
      <c r="A55" s="15"/>
      <c r="B55" s="15"/>
      <c r="C55" s="15"/>
      <c r="D55" s="15"/>
      <c r="E55" s="15"/>
      <c r="F55" s="15"/>
      <c r="G55" s="15"/>
      <c r="H55" s="15"/>
      <c r="I55" s="15"/>
      <c r="J55" s="15"/>
      <c r="K55" s="15"/>
      <c r="L55" s="15"/>
      <c r="M55" s="15"/>
      <c r="N55" s="15"/>
      <c r="O55" s="15"/>
      <c r="P55" s="15"/>
      <c r="Q55" s="15"/>
      <c r="R55" s="15"/>
      <c r="S55" s="15"/>
      <c r="T55" s="15"/>
    </row>
    <row r="56" spans="1:20" ht="19.5" customHeight="1" x14ac:dyDescent="0.35">
      <c r="A56" s="15"/>
      <c r="B56" s="15"/>
      <c r="C56" s="15"/>
      <c r="D56" s="15"/>
      <c r="E56" s="15"/>
      <c r="F56" s="15"/>
      <c r="G56" s="15"/>
      <c r="H56" s="15"/>
      <c r="I56" s="15"/>
      <c r="J56" s="15"/>
      <c r="K56" s="15"/>
      <c r="L56" s="15"/>
      <c r="M56" s="15"/>
      <c r="N56" s="15"/>
      <c r="O56" s="15"/>
      <c r="P56" s="15"/>
      <c r="Q56" s="15"/>
      <c r="R56" s="15"/>
      <c r="S56" s="15"/>
      <c r="T56" s="15"/>
    </row>
    <row r="57" spans="1:20" ht="19.5" customHeight="1" x14ac:dyDescent="0.35">
      <c r="A57" s="15"/>
      <c r="B57" s="15"/>
      <c r="C57" s="15"/>
      <c r="D57" s="15"/>
      <c r="E57" s="15"/>
      <c r="F57" s="15"/>
      <c r="G57" s="15"/>
      <c r="H57" s="15"/>
      <c r="I57" s="15"/>
      <c r="J57" s="15"/>
      <c r="K57" s="15"/>
      <c r="L57" s="15"/>
      <c r="M57" s="15"/>
      <c r="N57" s="15"/>
      <c r="O57" s="15"/>
      <c r="P57" s="15"/>
      <c r="Q57" s="15"/>
      <c r="R57" s="15"/>
      <c r="S57" s="15"/>
      <c r="T57" s="15"/>
    </row>
    <row r="58" spans="1:20" ht="19.5" customHeight="1" x14ac:dyDescent="0.35">
      <c r="A58" s="15"/>
      <c r="B58" s="15"/>
      <c r="C58" s="15"/>
      <c r="D58" s="15"/>
      <c r="E58" s="15"/>
      <c r="F58" s="15"/>
      <c r="G58" s="15"/>
      <c r="H58" s="15"/>
      <c r="I58" s="15"/>
      <c r="J58" s="15"/>
      <c r="K58" s="15"/>
      <c r="L58" s="15"/>
      <c r="M58" s="15"/>
      <c r="N58" s="15"/>
      <c r="O58" s="15"/>
      <c r="P58" s="15"/>
      <c r="Q58" s="15"/>
      <c r="R58" s="15"/>
      <c r="S58" s="15"/>
      <c r="T58" s="15"/>
    </row>
    <row r="59" spans="1:20" ht="19.5" customHeight="1" x14ac:dyDescent="0.35">
      <c r="A59" s="15"/>
      <c r="B59" s="15"/>
      <c r="C59" s="15"/>
      <c r="D59" s="15"/>
      <c r="E59" s="15"/>
      <c r="F59" s="15"/>
      <c r="G59" s="15"/>
      <c r="H59" s="15"/>
      <c r="I59" s="15"/>
      <c r="J59" s="15"/>
      <c r="K59" s="15"/>
      <c r="L59" s="15"/>
      <c r="M59" s="15"/>
      <c r="N59" s="15"/>
      <c r="O59" s="15"/>
      <c r="P59" s="15"/>
      <c r="Q59" s="15"/>
      <c r="R59" s="15"/>
      <c r="S59" s="15"/>
      <c r="T59" s="15"/>
    </row>
    <row r="60" spans="1:20" ht="19.5" customHeight="1" x14ac:dyDescent="0.35">
      <c r="A60" s="15"/>
      <c r="B60" s="15"/>
      <c r="C60" s="15"/>
      <c r="D60" s="15"/>
      <c r="E60" s="15"/>
      <c r="F60" s="15"/>
      <c r="G60" s="15"/>
      <c r="H60" s="15"/>
      <c r="I60" s="15"/>
      <c r="J60" s="15"/>
      <c r="K60" s="15"/>
      <c r="L60" s="15"/>
      <c r="M60" s="15"/>
      <c r="N60" s="15"/>
      <c r="O60" s="15"/>
      <c r="P60" s="15"/>
      <c r="Q60" s="15"/>
      <c r="R60" s="15"/>
      <c r="S60" s="15"/>
      <c r="T60" s="15"/>
    </row>
    <row r="61" spans="1:20" ht="19.5" customHeight="1" x14ac:dyDescent="0.35">
      <c r="A61" s="15"/>
      <c r="B61" s="15"/>
      <c r="C61" s="15"/>
      <c r="D61" s="15"/>
      <c r="E61" s="15"/>
      <c r="F61" s="15"/>
      <c r="G61" s="15"/>
      <c r="H61" s="15"/>
      <c r="I61" s="15"/>
      <c r="J61" s="15"/>
      <c r="K61" s="15"/>
      <c r="L61" s="15"/>
      <c r="M61" s="15"/>
      <c r="N61" s="15"/>
      <c r="O61" s="15"/>
      <c r="P61" s="15"/>
      <c r="Q61" s="15"/>
      <c r="R61" s="15"/>
      <c r="S61" s="15"/>
      <c r="T61" s="15"/>
    </row>
    <row r="62" spans="1:20" ht="19.5" customHeight="1" x14ac:dyDescent="0.35">
      <c r="A62" s="15"/>
      <c r="B62" s="15"/>
      <c r="C62" s="15"/>
      <c r="D62" s="15"/>
      <c r="E62" s="15"/>
      <c r="F62" s="15"/>
      <c r="G62" s="15"/>
      <c r="H62" s="15"/>
      <c r="I62" s="15"/>
      <c r="J62" s="15"/>
      <c r="K62" s="15"/>
      <c r="L62" s="15"/>
      <c r="M62" s="15"/>
      <c r="N62" s="15"/>
      <c r="O62" s="15"/>
      <c r="P62" s="15"/>
      <c r="Q62" s="15"/>
      <c r="R62" s="15"/>
      <c r="S62" s="15"/>
      <c r="T62" s="15"/>
    </row>
    <row r="63" spans="1:20" ht="19.5" customHeight="1" x14ac:dyDescent="0.35">
      <c r="A63" s="15"/>
      <c r="B63" s="15"/>
      <c r="C63" s="15"/>
      <c r="D63" s="15"/>
      <c r="E63" s="15"/>
      <c r="F63" s="15"/>
      <c r="G63" s="15"/>
      <c r="H63" s="15"/>
      <c r="I63" s="15"/>
      <c r="J63" s="15"/>
      <c r="K63" s="15"/>
      <c r="L63" s="15"/>
      <c r="M63" s="15"/>
      <c r="N63" s="15"/>
      <c r="O63" s="15"/>
      <c r="P63" s="15"/>
      <c r="Q63" s="15"/>
      <c r="R63" s="15"/>
      <c r="S63" s="15"/>
      <c r="T63" s="15"/>
    </row>
    <row r="64" spans="1:20" ht="19.5" customHeight="1" x14ac:dyDescent="0.35">
      <c r="A64" s="15"/>
      <c r="B64" s="15"/>
      <c r="C64" s="15"/>
      <c r="D64" s="15"/>
      <c r="E64" s="15"/>
      <c r="F64" s="15"/>
      <c r="G64" s="15"/>
      <c r="H64" s="15"/>
      <c r="I64" s="15"/>
      <c r="J64" s="15"/>
      <c r="K64" s="15"/>
      <c r="L64" s="15"/>
      <c r="M64" s="15"/>
      <c r="N64" s="15"/>
      <c r="O64" s="15"/>
      <c r="P64" s="15"/>
      <c r="Q64" s="15"/>
      <c r="R64" s="15"/>
      <c r="S64" s="15"/>
      <c r="T64" s="15"/>
    </row>
    <row r="65" spans="1:20" ht="19.5" customHeight="1" x14ac:dyDescent="0.35">
      <c r="A65" s="15"/>
      <c r="B65" s="15"/>
      <c r="C65" s="15"/>
      <c r="D65" s="15"/>
      <c r="E65" s="15"/>
      <c r="F65" s="15"/>
      <c r="G65" s="15"/>
      <c r="H65" s="15"/>
      <c r="I65" s="15"/>
      <c r="J65" s="15"/>
      <c r="K65" s="15"/>
      <c r="L65" s="15"/>
      <c r="M65" s="15"/>
      <c r="N65" s="15"/>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19.5" customHeight="1" x14ac:dyDescent="0.35">
      <c r="A67" s="15"/>
      <c r="B67" s="15"/>
      <c r="C67" s="15"/>
      <c r="D67" s="15"/>
      <c r="E67" s="15"/>
      <c r="F67" s="15"/>
      <c r="G67" s="15"/>
      <c r="H67" s="15"/>
      <c r="I67" s="15"/>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9.5" customHeight="1" x14ac:dyDescent="0.35">
      <c r="A80" s="15"/>
      <c r="B80" s="15"/>
      <c r="C80" s="15"/>
      <c r="D80" s="15"/>
      <c r="E80" s="15"/>
      <c r="F80" s="15"/>
      <c r="G80" s="15"/>
      <c r="H80" s="15"/>
      <c r="I80" s="15"/>
      <c r="J80" s="15"/>
      <c r="K80" s="15"/>
      <c r="L80" s="15"/>
      <c r="M80" s="15"/>
      <c r="N80" s="15"/>
      <c r="O80" s="15"/>
      <c r="P80" s="15"/>
      <c r="Q80" s="15"/>
      <c r="R80" s="15"/>
      <c r="S80" s="15"/>
      <c r="T80" s="15"/>
    </row>
    <row r="81" spans="1:20" ht="19.5" customHeight="1" x14ac:dyDescent="0.35">
      <c r="A81" s="15"/>
      <c r="B81" s="15"/>
      <c r="C81" s="15"/>
      <c r="D81" s="15"/>
      <c r="E81" s="15"/>
      <c r="F81" s="15"/>
      <c r="G81" s="15"/>
      <c r="H81" s="15"/>
      <c r="I81" s="15"/>
      <c r="J81" s="15"/>
      <c r="K81" s="15"/>
      <c r="L81" s="15"/>
      <c r="M81" s="15"/>
      <c r="N81" s="15"/>
      <c r="O81" s="15"/>
      <c r="P81" s="15"/>
      <c r="Q81" s="15"/>
      <c r="R81" s="15"/>
      <c r="S81" s="15"/>
      <c r="T81" s="15"/>
    </row>
    <row r="82" spans="1:20" ht="19.5" customHeight="1" x14ac:dyDescent="0.35">
      <c r="A82" s="15"/>
      <c r="B82" s="15"/>
      <c r="C82" s="15"/>
      <c r="D82" s="15"/>
      <c r="E82" s="15"/>
      <c r="F82" s="15"/>
      <c r="G82" s="15"/>
      <c r="H82" s="15"/>
      <c r="I82" s="15"/>
      <c r="J82" s="15"/>
      <c r="K82" s="15"/>
      <c r="L82" s="15"/>
      <c r="M82" s="15"/>
      <c r="N82" s="15"/>
      <c r="O82" s="15"/>
      <c r="P82" s="15"/>
      <c r="Q82" s="15"/>
      <c r="R82" s="15"/>
      <c r="S82" s="15"/>
      <c r="T82" s="15"/>
    </row>
    <row r="83" spans="1:20" ht="19.5" customHeight="1" x14ac:dyDescent="0.35">
      <c r="A83" s="15"/>
      <c r="B83" s="15"/>
      <c r="C83" s="15"/>
      <c r="D83" s="15"/>
      <c r="E83" s="15"/>
      <c r="F83" s="15"/>
      <c r="G83" s="15"/>
      <c r="H83" s="15"/>
      <c r="I83" s="15"/>
      <c r="J83" s="15"/>
      <c r="K83" s="15"/>
      <c r="L83" s="15"/>
      <c r="M83" s="15"/>
      <c r="N83" s="15"/>
      <c r="O83" s="15"/>
      <c r="P83" s="15"/>
      <c r="Q83" s="15"/>
      <c r="R83" s="15"/>
      <c r="S83" s="15"/>
      <c r="T83" s="15"/>
    </row>
    <row r="84" spans="1:20" ht="19.5" customHeight="1" x14ac:dyDescent="0.35">
      <c r="A84" s="15"/>
      <c r="B84" s="15"/>
      <c r="C84" s="15"/>
      <c r="D84" s="15"/>
      <c r="E84" s="15"/>
      <c r="F84" s="15"/>
      <c r="G84" s="15"/>
      <c r="H84" s="15"/>
      <c r="I84" s="15"/>
      <c r="J84" s="15"/>
      <c r="K84" s="15"/>
      <c r="L84" s="15"/>
      <c r="M84" s="15"/>
      <c r="N84" s="15"/>
      <c r="O84" s="15"/>
      <c r="P84" s="15"/>
      <c r="Q84" s="15"/>
      <c r="R84" s="15"/>
      <c r="S84" s="15"/>
      <c r="T84" s="15"/>
    </row>
    <row r="85" spans="1:20" ht="19.5" customHeight="1" x14ac:dyDescent="0.35">
      <c r="A85" s="15"/>
      <c r="B85" s="15"/>
      <c r="C85" s="15"/>
      <c r="D85" s="15"/>
      <c r="E85" s="15"/>
      <c r="F85" s="15"/>
      <c r="G85" s="15"/>
      <c r="H85" s="15"/>
      <c r="I85" s="15"/>
      <c r="J85" s="15"/>
      <c r="K85" s="15"/>
      <c r="L85" s="15"/>
      <c r="M85" s="15"/>
      <c r="N85" s="15"/>
      <c r="O85" s="15"/>
      <c r="P85" s="15"/>
      <c r="Q85" s="15"/>
      <c r="R85" s="15"/>
      <c r="S85" s="15"/>
      <c r="T85" s="15"/>
    </row>
    <row r="86" spans="1:20" ht="19.5" customHeight="1" x14ac:dyDescent="0.35">
      <c r="A86" s="15"/>
      <c r="B86" s="15"/>
      <c r="C86" s="15"/>
      <c r="D86" s="15"/>
      <c r="E86" s="15"/>
      <c r="F86" s="15"/>
      <c r="G86" s="15"/>
      <c r="H86" s="15"/>
      <c r="I86" s="15"/>
      <c r="J86" s="15"/>
      <c r="K86" s="15"/>
      <c r="L86" s="15"/>
      <c r="M86" s="15"/>
      <c r="N86" s="15"/>
      <c r="O86" s="15"/>
      <c r="P86" s="15"/>
      <c r="Q86" s="15"/>
      <c r="R86" s="15"/>
      <c r="S86" s="15"/>
      <c r="T86" s="15"/>
    </row>
    <row r="87" spans="1:20" ht="19.5" customHeight="1" x14ac:dyDescent="0.35">
      <c r="A87" s="15"/>
      <c r="B87" s="15"/>
      <c r="C87" s="15"/>
      <c r="D87" s="15"/>
      <c r="E87" s="15"/>
      <c r="F87" s="15"/>
      <c r="G87" s="15"/>
      <c r="H87" s="15"/>
      <c r="I87" s="15"/>
      <c r="J87" s="15"/>
      <c r="K87" s="15"/>
      <c r="L87" s="15"/>
      <c r="M87" s="15"/>
      <c r="N87" s="15"/>
      <c r="O87" s="15"/>
      <c r="P87" s="15"/>
      <c r="Q87" s="15"/>
      <c r="R87" s="15"/>
      <c r="S87" s="15"/>
      <c r="T87" s="15"/>
    </row>
    <row r="88" spans="1:20" ht="19.5" customHeight="1" x14ac:dyDescent="0.35">
      <c r="A88" s="15"/>
      <c r="B88" s="15"/>
      <c r="C88" s="15"/>
      <c r="D88" s="15"/>
      <c r="E88" s="15"/>
      <c r="F88" s="15"/>
      <c r="G88" s="15"/>
      <c r="H88" s="15"/>
      <c r="I88" s="15"/>
      <c r="J88" s="15"/>
      <c r="K88" s="15"/>
      <c r="L88" s="15"/>
      <c r="M88" s="15"/>
      <c r="N88" s="15"/>
      <c r="O88" s="15"/>
      <c r="P88" s="15"/>
      <c r="Q88" s="15"/>
      <c r="R88" s="15"/>
      <c r="S88" s="15"/>
      <c r="T88" s="15"/>
    </row>
    <row r="89" spans="1:20" ht="19.5" customHeight="1" x14ac:dyDescent="0.35">
      <c r="A89" s="15"/>
      <c r="B89" s="15"/>
      <c r="C89" s="15"/>
      <c r="D89" s="15"/>
      <c r="E89" s="15"/>
      <c r="F89" s="15"/>
      <c r="G89" s="15"/>
      <c r="H89" s="15"/>
      <c r="I89" s="15"/>
      <c r="J89" s="15"/>
      <c r="K89" s="15"/>
      <c r="L89" s="15"/>
      <c r="M89" s="15"/>
      <c r="N89" s="15"/>
      <c r="O89" s="15"/>
      <c r="P89" s="15"/>
      <c r="Q89" s="15"/>
      <c r="R89" s="15"/>
      <c r="S89" s="15"/>
      <c r="T89" s="15"/>
    </row>
    <row r="90" spans="1:20" ht="19.5" customHeight="1" x14ac:dyDescent="0.35">
      <c r="A90" s="15"/>
      <c r="B90" s="15"/>
      <c r="C90" s="15"/>
      <c r="D90" s="15"/>
      <c r="E90" s="15"/>
      <c r="F90" s="15"/>
      <c r="G90" s="15"/>
      <c r="H90" s="15"/>
      <c r="I90" s="15"/>
      <c r="J90" s="15"/>
      <c r="K90" s="15"/>
      <c r="L90" s="15"/>
      <c r="M90" s="15"/>
      <c r="N90" s="15"/>
      <c r="O90" s="15"/>
      <c r="P90" s="15"/>
      <c r="Q90" s="15"/>
      <c r="R90" s="15"/>
      <c r="S90" s="15"/>
      <c r="T90" s="15"/>
    </row>
    <row r="91" spans="1:20" ht="19.5" customHeight="1" x14ac:dyDescent="0.35">
      <c r="A91" s="15"/>
      <c r="B91" s="15"/>
      <c r="C91" s="15"/>
      <c r="D91" s="15"/>
      <c r="E91" s="15"/>
      <c r="F91" s="15"/>
      <c r="G91" s="15"/>
      <c r="H91" s="15"/>
      <c r="I91" s="15"/>
      <c r="J91" s="15"/>
      <c r="K91" s="15"/>
      <c r="L91" s="15"/>
      <c r="M91" s="15"/>
      <c r="N91" s="15"/>
      <c r="O91" s="15"/>
      <c r="P91" s="15"/>
      <c r="Q91" s="15"/>
      <c r="R91" s="15"/>
      <c r="S91" s="15"/>
      <c r="T91" s="15"/>
    </row>
    <row r="92" spans="1:20" ht="19.5" customHeight="1" x14ac:dyDescent="0.35">
      <c r="A92" s="15"/>
      <c r="B92" s="15"/>
      <c r="C92" s="15"/>
      <c r="D92" s="15"/>
      <c r="E92" s="15"/>
      <c r="F92" s="15"/>
      <c r="G92" s="15"/>
      <c r="H92" s="15"/>
      <c r="I92" s="15"/>
      <c r="J92" s="15"/>
      <c r="K92" s="15"/>
      <c r="L92" s="15"/>
      <c r="M92" s="15"/>
      <c r="N92" s="15"/>
      <c r="O92" s="15"/>
      <c r="P92" s="15"/>
      <c r="Q92" s="15"/>
      <c r="R92" s="15"/>
      <c r="S92" s="15"/>
      <c r="T92" s="15"/>
    </row>
    <row r="93" spans="1:20" ht="19.5" customHeight="1" x14ac:dyDescent="0.35">
      <c r="A93" s="15"/>
      <c r="B93" s="15"/>
      <c r="C93" s="15"/>
      <c r="D93" s="15"/>
      <c r="E93" s="15"/>
      <c r="F93" s="15"/>
      <c r="G93" s="15"/>
      <c r="H93" s="15"/>
      <c r="I93" s="15"/>
      <c r="J93" s="15"/>
      <c r="K93" s="15"/>
      <c r="L93" s="15"/>
      <c r="M93" s="15"/>
      <c r="N93" s="15"/>
      <c r="O93" s="15"/>
      <c r="P93" s="15"/>
      <c r="Q93" s="15"/>
      <c r="R93" s="15"/>
      <c r="S93" s="15"/>
      <c r="T93" s="15"/>
    </row>
    <row r="94" spans="1:20" ht="19.5" customHeight="1" x14ac:dyDescent="0.35">
      <c r="A94" s="15"/>
      <c r="B94" s="15"/>
      <c r="C94" s="15"/>
      <c r="D94" s="15"/>
      <c r="E94" s="15"/>
      <c r="F94" s="15"/>
      <c r="G94" s="15"/>
      <c r="H94" s="15"/>
      <c r="I94" s="15"/>
      <c r="J94" s="15"/>
      <c r="K94" s="15"/>
      <c r="L94" s="15"/>
      <c r="M94" s="15"/>
      <c r="N94" s="15"/>
      <c r="O94" s="15"/>
      <c r="P94" s="15"/>
      <c r="Q94" s="15"/>
      <c r="R94" s="15"/>
      <c r="S94" s="15"/>
      <c r="T94" s="15"/>
    </row>
    <row r="95" spans="1:20" ht="19.5" customHeight="1" x14ac:dyDescent="0.35">
      <c r="A95" s="15"/>
      <c r="B95" s="15"/>
      <c r="C95" s="15"/>
      <c r="D95" s="15"/>
      <c r="E95" s="15"/>
      <c r="F95" s="15"/>
      <c r="G95" s="15"/>
      <c r="H95" s="15"/>
      <c r="I95" s="15"/>
      <c r="J95" s="15"/>
      <c r="K95" s="15"/>
      <c r="L95" s="15"/>
      <c r="M95" s="15"/>
      <c r="N95" s="15"/>
      <c r="O95" s="15"/>
      <c r="P95" s="15"/>
      <c r="Q95" s="15"/>
      <c r="R95" s="15"/>
      <c r="S95" s="15"/>
      <c r="T95" s="15"/>
    </row>
    <row r="96" spans="1:20" ht="19.5" customHeight="1" x14ac:dyDescent="0.35">
      <c r="A96" s="15"/>
      <c r="B96" s="15"/>
      <c r="C96" s="15"/>
      <c r="D96" s="15"/>
      <c r="E96" s="15"/>
      <c r="F96" s="15"/>
      <c r="G96" s="15"/>
      <c r="H96" s="15"/>
      <c r="I96" s="15"/>
      <c r="J96" s="15"/>
      <c r="K96" s="15"/>
      <c r="L96" s="15"/>
      <c r="M96" s="15"/>
      <c r="N96" s="15"/>
      <c r="O96" s="15"/>
      <c r="P96" s="15"/>
      <c r="Q96" s="15"/>
      <c r="R96" s="15"/>
      <c r="S96" s="15"/>
      <c r="T96" s="15"/>
    </row>
    <row r="97" spans="1:20" ht="19.5" customHeight="1" x14ac:dyDescent="0.35">
      <c r="A97" s="15"/>
      <c r="B97" s="15"/>
      <c r="C97" s="15"/>
      <c r="D97" s="15"/>
      <c r="E97" s="15"/>
      <c r="F97" s="15"/>
      <c r="G97" s="15"/>
      <c r="H97" s="15"/>
      <c r="I97" s="15"/>
      <c r="J97" s="15"/>
      <c r="K97" s="15"/>
      <c r="L97" s="15"/>
      <c r="M97" s="15"/>
      <c r="N97" s="15"/>
      <c r="O97" s="15"/>
      <c r="P97" s="15"/>
      <c r="Q97" s="15"/>
      <c r="R97" s="15"/>
      <c r="S97" s="15"/>
      <c r="T97" s="15"/>
    </row>
    <row r="98" spans="1:20" ht="19.5" customHeight="1" x14ac:dyDescent="0.35">
      <c r="A98" s="15"/>
      <c r="B98" s="15"/>
      <c r="C98" s="15"/>
      <c r="D98" s="15"/>
      <c r="E98" s="15"/>
      <c r="F98" s="15"/>
      <c r="G98" s="15"/>
      <c r="H98" s="15"/>
      <c r="I98" s="15"/>
      <c r="J98" s="15"/>
      <c r="K98" s="15"/>
      <c r="L98" s="15"/>
      <c r="M98" s="15"/>
      <c r="N98" s="15"/>
      <c r="O98" s="15"/>
      <c r="P98" s="15"/>
      <c r="Q98" s="15"/>
      <c r="R98" s="15"/>
      <c r="S98" s="15"/>
      <c r="T98" s="15"/>
    </row>
    <row r="99" spans="1:20" ht="19.5" customHeight="1" x14ac:dyDescent="0.35">
      <c r="A99" s="15"/>
      <c r="B99" s="15"/>
      <c r="C99" s="15"/>
      <c r="D99" s="15"/>
      <c r="E99" s="15"/>
      <c r="F99" s="15"/>
      <c r="G99" s="15"/>
      <c r="H99" s="15"/>
      <c r="I99" s="15"/>
      <c r="J99" s="15"/>
      <c r="K99" s="15"/>
      <c r="L99" s="15"/>
      <c r="M99" s="15"/>
      <c r="N99" s="15"/>
      <c r="O99" s="15"/>
      <c r="P99" s="15"/>
      <c r="Q99" s="15"/>
      <c r="R99" s="15"/>
      <c r="S99" s="15"/>
      <c r="T99" s="15"/>
    </row>
    <row r="100" spans="1:20" ht="19.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9.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9.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9.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9.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9.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9.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9.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9.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9.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9.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9.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9.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9.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9.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9.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9.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9.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9.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9.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9.5" customHeight="1" x14ac:dyDescent="0.35">
      <c r="A120" s="15"/>
      <c r="B120" s="15"/>
      <c r="C120" s="15"/>
      <c r="D120" s="15"/>
      <c r="E120" s="15"/>
      <c r="F120" s="15"/>
      <c r="G120" s="15"/>
      <c r="H120" s="15"/>
      <c r="I120" s="15"/>
      <c r="J120" s="15"/>
      <c r="K120" s="15"/>
      <c r="L120" s="15"/>
      <c r="M120" s="15"/>
      <c r="N120" s="15"/>
      <c r="O120" s="15"/>
      <c r="P120" s="15"/>
      <c r="Q120" s="15"/>
      <c r="R120" s="15"/>
      <c r="S120" s="15"/>
      <c r="T120" s="15"/>
    </row>
    <row r="121" spans="1:20" ht="19.5" customHeight="1" x14ac:dyDescent="0.35"/>
    <row r="122" spans="1:20" ht="19.5" customHeight="1" x14ac:dyDescent="0.35"/>
    <row r="123" spans="1:20" ht="19.5" customHeight="1" x14ac:dyDescent="0.35"/>
    <row r="124" spans="1:20" ht="19.5" customHeight="1" x14ac:dyDescent="0.35"/>
    <row r="125" spans="1:20" ht="19.5" customHeight="1" x14ac:dyDescent="0.35"/>
    <row r="126" spans="1:20" ht="19.5" customHeight="1" x14ac:dyDescent="0.35"/>
    <row r="127" spans="1:20" ht="19.5" customHeight="1" x14ac:dyDescent="0.35"/>
    <row r="128" spans="1:20" ht="19.5" customHeight="1" x14ac:dyDescent="0.35"/>
    <row r="129" ht="19.5" customHeight="1" x14ac:dyDescent="0.35"/>
    <row r="130" ht="19.5" customHeight="1" x14ac:dyDescent="0.35"/>
    <row r="131" ht="19.5" customHeight="1" x14ac:dyDescent="0.35"/>
    <row r="132" ht="19.5" customHeight="1" x14ac:dyDescent="0.35"/>
    <row r="133" ht="19.5" customHeight="1" x14ac:dyDescent="0.35"/>
    <row r="134" ht="19.5" customHeight="1" x14ac:dyDescent="0.35"/>
    <row r="135" ht="19.5" customHeight="1" x14ac:dyDescent="0.35"/>
    <row r="136" ht="19.5" customHeight="1" x14ac:dyDescent="0.35"/>
    <row r="137" ht="19.5" customHeight="1" x14ac:dyDescent="0.35"/>
    <row r="138" ht="19.5" customHeight="1" x14ac:dyDescent="0.35"/>
    <row r="139" ht="19.5" customHeight="1" x14ac:dyDescent="0.35"/>
    <row r="140" ht="19.5" customHeight="1" x14ac:dyDescent="0.35"/>
    <row r="141" ht="19.5" customHeight="1" x14ac:dyDescent="0.35"/>
    <row r="142" ht="19.5" customHeight="1" x14ac:dyDescent="0.35"/>
    <row r="143" ht="19.5" customHeight="1" x14ac:dyDescent="0.35"/>
    <row r="144" ht="19.5" customHeight="1" x14ac:dyDescent="0.35"/>
    <row r="145" ht="19.5" customHeight="1" x14ac:dyDescent="0.35"/>
    <row r="146" ht="19.5" customHeight="1" x14ac:dyDescent="0.35"/>
    <row r="147" ht="19.5" customHeight="1" x14ac:dyDescent="0.35"/>
    <row r="148" ht="19.5" customHeight="1" x14ac:dyDescent="0.35"/>
    <row r="149" ht="19.5" customHeight="1" x14ac:dyDescent="0.35"/>
    <row r="150" ht="19.5" customHeight="1" x14ac:dyDescent="0.35"/>
    <row r="151" ht="19.5" customHeight="1" x14ac:dyDescent="0.35"/>
    <row r="152" ht="19.5" customHeight="1" x14ac:dyDescent="0.35"/>
    <row r="153" ht="19.5" customHeight="1" x14ac:dyDescent="0.35"/>
    <row r="154" ht="19.5" customHeight="1" x14ac:dyDescent="0.35"/>
    <row r="155" ht="19.5" customHeight="1" x14ac:dyDescent="0.35"/>
    <row r="156" ht="19.5" customHeight="1" x14ac:dyDescent="0.35"/>
    <row r="157" ht="19.5" customHeight="1" x14ac:dyDescent="0.35"/>
    <row r="158" ht="19.5" customHeight="1" x14ac:dyDescent="0.35"/>
    <row r="159" ht="19.5" customHeight="1" x14ac:dyDescent="0.35"/>
  </sheetData>
  <mergeCells count="15">
    <mergeCell ref="B33:I33"/>
    <mergeCell ref="B35:N35"/>
    <mergeCell ref="B36:N36"/>
    <mergeCell ref="B45:N45"/>
    <mergeCell ref="B47:I47"/>
    <mergeCell ref="B17:N17"/>
    <mergeCell ref="B19:I19"/>
    <mergeCell ref="B21:N21"/>
    <mergeCell ref="B22:N22"/>
    <mergeCell ref="B31:N31"/>
    <mergeCell ref="B2:N2"/>
    <mergeCell ref="B3:N3"/>
    <mergeCell ref="B5:I5"/>
    <mergeCell ref="B7:N7"/>
    <mergeCell ref="B8:N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855F7"/>
  </sheetPr>
  <dimension ref="A1:T199"/>
  <sheetViews>
    <sheetView showGridLines="0" zoomScaleNormal="100" workbookViewId="0"/>
  </sheetViews>
  <sheetFormatPr baseColWidth="10" defaultColWidth="8.6328125" defaultRowHeight="14.5" x14ac:dyDescent="0.35"/>
  <cols>
    <col min="1" max="1" width="2" customWidth="1"/>
    <col min="2" max="2" width="4" customWidth="1"/>
    <col min="3" max="3" width="28" customWidth="1"/>
    <col min="4" max="4" width="18" customWidth="1"/>
    <col min="5" max="5" width="8" customWidth="1"/>
    <col min="6" max="7" width="10" customWidth="1"/>
    <col min="8" max="8" width="8" customWidth="1"/>
    <col min="9" max="9" width="32" customWidth="1"/>
    <col min="10" max="10"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43.5" customHeight="1" x14ac:dyDescent="0.35">
      <c r="A2" s="15"/>
      <c r="B2" s="124" t="s">
        <v>222</v>
      </c>
      <c r="C2" s="124"/>
      <c r="D2" s="124"/>
      <c r="E2" s="124"/>
      <c r="F2" s="124"/>
      <c r="G2" s="124"/>
      <c r="H2" s="124"/>
      <c r="I2" s="124"/>
      <c r="J2" s="124"/>
      <c r="K2" s="124"/>
      <c r="L2" s="124"/>
      <c r="M2" s="124"/>
      <c r="N2" s="124"/>
      <c r="O2" s="15"/>
      <c r="P2" s="15"/>
      <c r="Q2" s="15"/>
      <c r="R2" s="15"/>
      <c r="S2" s="15"/>
      <c r="T2" s="15"/>
    </row>
    <row r="3" spans="1:20" ht="19.5" customHeight="1" x14ac:dyDescent="0.35">
      <c r="A3" s="15"/>
      <c r="B3" s="125" t="s">
        <v>223</v>
      </c>
      <c r="C3" s="125"/>
      <c r="D3" s="125"/>
      <c r="E3" s="125"/>
      <c r="F3" s="125"/>
      <c r="G3" s="125"/>
      <c r="H3" s="125"/>
      <c r="I3" s="125"/>
      <c r="J3" s="125"/>
      <c r="K3" s="125"/>
      <c r="L3" s="125"/>
      <c r="M3" s="125"/>
      <c r="N3" s="125"/>
      <c r="O3" s="15"/>
      <c r="P3" s="15"/>
      <c r="Q3" s="15"/>
      <c r="R3" s="15"/>
      <c r="S3" s="15"/>
      <c r="T3" s="15"/>
    </row>
    <row r="4" spans="1:20" ht="19.5" customHeight="1" x14ac:dyDescent="0.35">
      <c r="A4" s="15"/>
      <c r="B4" s="15"/>
      <c r="C4" s="15"/>
      <c r="D4" s="15"/>
      <c r="E4" s="15"/>
      <c r="F4" s="15"/>
      <c r="G4" s="15"/>
      <c r="H4" s="15"/>
      <c r="I4" s="15"/>
      <c r="J4" s="15"/>
      <c r="K4" s="15"/>
      <c r="L4" s="15"/>
      <c r="M4" s="15"/>
      <c r="N4" s="15"/>
      <c r="O4" s="15"/>
      <c r="P4" s="15"/>
      <c r="Q4" s="15"/>
      <c r="R4" s="15"/>
      <c r="S4" s="15"/>
      <c r="T4" s="15"/>
    </row>
    <row r="5" spans="1:20" ht="21.75" customHeight="1" x14ac:dyDescent="0.35">
      <c r="A5" s="15"/>
      <c r="B5" s="126" t="s">
        <v>224</v>
      </c>
      <c r="C5" s="126"/>
      <c r="D5" s="126"/>
      <c r="E5" s="126"/>
      <c r="F5" s="126"/>
      <c r="G5" s="126"/>
      <c r="H5" s="126"/>
      <c r="I5" s="126"/>
      <c r="J5" s="15"/>
      <c r="K5" s="15"/>
      <c r="L5" s="15"/>
      <c r="M5" s="15"/>
      <c r="N5" s="15"/>
      <c r="O5" s="15"/>
      <c r="P5" s="15"/>
      <c r="Q5" s="15"/>
      <c r="R5" s="15"/>
      <c r="S5" s="15"/>
      <c r="T5" s="15"/>
    </row>
    <row r="6" spans="1:20" ht="19.5" customHeight="1" x14ac:dyDescent="0.35">
      <c r="A6" s="15"/>
      <c r="B6" s="15"/>
      <c r="C6" s="15"/>
      <c r="D6" s="15"/>
      <c r="E6" s="15"/>
      <c r="F6" s="15"/>
      <c r="G6" s="15"/>
      <c r="H6" s="15"/>
      <c r="I6" s="15"/>
      <c r="J6" s="15"/>
      <c r="K6" s="15"/>
      <c r="L6" s="15"/>
      <c r="M6" s="15"/>
      <c r="N6" s="15"/>
      <c r="O6" s="15"/>
      <c r="P6" s="15"/>
      <c r="Q6" s="15"/>
      <c r="R6" s="15"/>
      <c r="S6" s="15"/>
      <c r="T6" s="15"/>
    </row>
    <row r="7" spans="1:20" ht="30" customHeight="1" x14ac:dyDescent="0.35">
      <c r="A7" s="15"/>
      <c r="B7" s="135" t="s">
        <v>225</v>
      </c>
      <c r="C7" s="135"/>
      <c r="D7" s="135"/>
      <c r="E7" s="135"/>
      <c r="F7" s="135"/>
      <c r="G7" s="135"/>
      <c r="H7" s="135"/>
      <c r="I7" s="135"/>
      <c r="J7" s="135"/>
      <c r="K7" s="135"/>
      <c r="L7" s="135"/>
      <c r="M7" s="135"/>
      <c r="N7" s="135"/>
      <c r="O7" s="15"/>
      <c r="P7" s="15"/>
      <c r="Q7" s="15"/>
      <c r="R7" s="15"/>
      <c r="S7" s="15"/>
      <c r="T7" s="15"/>
    </row>
    <row r="8" spans="1:20" ht="18" customHeight="1" x14ac:dyDescent="0.35">
      <c r="A8" s="15"/>
      <c r="B8" s="136" t="s">
        <v>226</v>
      </c>
      <c r="C8" s="136"/>
      <c r="D8" s="136"/>
      <c r="E8" s="136"/>
      <c r="F8" s="136"/>
      <c r="G8" s="136"/>
      <c r="H8" s="136"/>
      <c r="I8" s="136"/>
      <c r="J8" s="136"/>
      <c r="K8" s="136"/>
      <c r="L8" s="136"/>
      <c r="M8" s="136"/>
      <c r="N8" s="136"/>
      <c r="O8" s="15"/>
      <c r="P8" s="15"/>
      <c r="Q8" s="15"/>
      <c r="R8" s="15"/>
      <c r="S8" s="15"/>
      <c r="T8" s="15"/>
    </row>
    <row r="9" spans="1:20" ht="21.75" customHeight="1" x14ac:dyDescent="0.35">
      <c r="A9" s="15"/>
      <c r="B9" s="25" t="s">
        <v>62</v>
      </c>
      <c r="C9" s="25" t="s">
        <v>63</v>
      </c>
      <c r="D9" s="25" t="s">
        <v>64</v>
      </c>
      <c r="E9" s="25" t="s">
        <v>65</v>
      </c>
      <c r="F9" s="25" t="s">
        <v>66</v>
      </c>
      <c r="G9" s="25" t="s">
        <v>67</v>
      </c>
      <c r="H9" s="25" t="s">
        <v>68</v>
      </c>
      <c r="I9" s="25" t="s">
        <v>69</v>
      </c>
      <c r="J9" s="15"/>
      <c r="K9" s="15"/>
      <c r="L9" s="15"/>
      <c r="M9" s="15"/>
      <c r="N9" s="15"/>
      <c r="O9" s="15"/>
      <c r="P9" s="15"/>
      <c r="Q9" s="15"/>
      <c r="R9" s="15"/>
      <c r="S9" s="15"/>
      <c r="T9" s="15"/>
    </row>
    <row r="10" spans="1:20" ht="25.5" customHeight="1" x14ac:dyDescent="0.35">
      <c r="A10" s="15"/>
      <c r="B10" s="26">
        <v>1</v>
      </c>
      <c r="C10" s="27" t="s">
        <v>139</v>
      </c>
      <c r="D10" s="28" t="s">
        <v>140</v>
      </c>
      <c r="E10" s="29" t="s">
        <v>127</v>
      </c>
      <c r="F10" s="30" t="s">
        <v>73</v>
      </c>
      <c r="G10" s="31" t="s">
        <v>86</v>
      </c>
      <c r="H10" s="32" t="s">
        <v>75</v>
      </c>
      <c r="I10" s="33" t="s">
        <v>227</v>
      </c>
      <c r="J10" s="15"/>
      <c r="K10" s="15"/>
      <c r="L10" s="15"/>
      <c r="M10" s="15"/>
      <c r="N10" s="15"/>
      <c r="O10" s="15"/>
      <c r="P10" s="15"/>
      <c r="Q10" s="15"/>
      <c r="R10" s="15"/>
      <c r="S10" s="15"/>
      <c r="T10" s="15"/>
    </row>
    <row r="11" spans="1:20" ht="25.5" customHeight="1" x14ac:dyDescent="0.35">
      <c r="A11" s="15"/>
      <c r="B11" s="34">
        <v>2</v>
      </c>
      <c r="C11" s="35" t="s">
        <v>130</v>
      </c>
      <c r="D11" s="36" t="s">
        <v>131</v>
      </c>
      <c r="E11" s="37" t="s">
        <v>72</v>
      </c>
      <c r="F11" s="38" t="s">
        <v>100</v>
      </c>
      <c r="G11" s="39" t="s">
        <v>74</v>
      </c>
      <c r="H11" s="32" t="s">
        <v>75</v>
      </c>
      <c r="I11" s="41" t="s">
        <v>132</v>
      </c>
      <c r="J11" s="15"/>
      <c r="K11" s="15"/>
      <c r="L11" s="15"/>
      <c r="M11" s="15"/>
      <c r="N11" s="15"/>
      <c r="O11" s="15"/>
      <c r="P11" s="15"/>
      <c r="Q11" s="15"/>
      <c r="R11" s="15"/>
      <c r="S11" s="15"/>
      <c r="T11" s="15"/>
    </row>
    <row r="12" spans="1:20" ht="25.5" customHeight="1" x14ac:dyDescent="0.35">
      <c r="A12" s="15"/>
      <c r="B12" s="26">
        <v>3</v>
      </c>
      <c r="C12" s="27" t="s">
        <v>167</v>
      </c>
      <c r="D12" s="28" t="s">
        <v>168</v>
      </c>
      <c r="E12" s="29" t="s">
        <v>79</v>
      </c>
      <c r="F12" s="30" t="s">
        <v>100</v>
      </c>
      <c r="G12" s="31" t="s">
        <v>86</v>
      </c>
      <c r="H12" s="32" t="s">
        <v>75</v>
      </c>
      <c r="I12" s="33" t="s">
        <v>228</v>
      </c>
      <c r="J12" s="15"/>
      <c r="K12" s="15"/>
      <c r="L12" s="15"/>
      <c r="M12" s="15"/>
      <c r="N12" s="15"/>
      <c r="O12" s="15"/>
      <c r="P12" s="15"/>
      <c r="Q12" s="15"/>
      <c r="R12" s="15"/>
      <c r="S12" s="15"/>
      <c r="T12" s="15"/>
    </row>
    <row r="13" spans="1:20" ht="25.5" customHeight="1" x14ac:dyDescent="0.35">
      <c r="A13" s="15"/>
      <c r="B13" s="34">
        <v>4</v>
      </c>
      <c r="C13" s="35" t="s">
        <v>229</v>
      </c>
      <c r="D13" s="36" t="s">
        <v>140</v>
      </c>
      <c r="E13" s="37" t="s">
        <v>79</v>
      </c>
      <c r="F13" s="38" t="s">
        <v>80</v>
      </c>
      <c r="G13" s="39" t="s">
        <v>96</v>
      </c>
      <c r="H13" s="40" t="s">
        <v>82</v>
      </c>
      <c r="I13" s="41" t="s">
        <v>230</v>
      </c>
      <c r="J13" s="15"/>
      <c r="K13" s="15"/>
      <c r="L13" s="15"/>
      <c r="M13" s="15"/>
      <c r="N13" s="15"/>
      <c r="O13" s="15"/>
      <c r="P13" s="15"/>
      <c r="Q13" s="15"/>
      <c r="R13" s="15"/>
      <c r="S13" s="15"/>
      <c r="T13" s="15"/>
    </row>
    <row r="14" spans="1:20" ht="25.5" customHeight="1" x14ac:dyDescent="0.35">
      <c r="A14" s="15"/>
      <c r="B14" s="26">
        <v>5</v>
      </c>
      <c r="C14" s="27" t="s">
        <v>173</v>
      </c>
      <c r="D14" s="28" t="s">
        <v>174</v>
      </c>
      <c r="E14" s="29" t="s">
        <v>79</v>
      </c>
      <c r="F14" s="30" t="s">
        <v>147</v>
      </c>
      <c r="G14" s="31" t="s">
        <v>91</v>
      </c>
      <c r="H14" s="40" t="s">
        <v>82</v>
      </c>
      <c r="I14" s="33" t="s">
        <v>231</v>
      </c>
      <c r="J14" s="15"/>
      <c r="K14" s="15"/>
      <c r="L14" s="15"/>
      <c r="M14" s="15"/>
      <c r="N14" s="15"/>
      <c r="O14" s="15"/>
      <c r="P14" s="15"/>
      <c r="Q14" s="15"/>
      <c r="R14" s="15"/>
      <c r="S14" s="15"/>
      <c r="T14" s="15"/>
    </row>
    <row r="15" spans="1:20" ht="25.5" customHeight="1" x14ac:dyDescent="0.35">
      <c r="A15" s="15"/>
      <c r="B15" s="34">
        <v>6</v>
      </c>
      <c r="C15" s="35" t="s">
        <v>142</v>
      </c>
      <c r="D15" s="36" t="s">
        <v>143</v>
      </c>
      <c r="E15" s="37" t="s">
        <v>79</v>
      </c>
      <c r="F15" s="38" t="s">
        <v>80</v>
      </c>
      <c r="G15" s="39" t="s">
        <v>148</v>
      </c>
      <c r="H15" s="40" t="s">
        <v>82</v>
      </c>
      <c r="I15" s="41" t="s">
        <v>232</v>
      </c>
      <c r="J15" s="15"/>
      <c r="K15" s="15"/>
      <c r="L15" s="15"/>
      <c r="M15" s="15"/>
      <c r="N15" s="15"/>
      <c r="O15" s="15"/>
      <c r="P15" s="15"/>
      <c r="Q15" s="15"/>
      <c r="R15" s="15"/>
      <c r="S15" s="15"/>
      <c r="T15" s="15"/>
    </row>
    <row r="16" spans="1:20" ht="19.5" customHeight="1" x14ac:dyDescent="0.35">
      <c r="A16" s="15"/>
      <c r="B16" s="129" t="s">
        <v>104</v>
      </c>
      <c r="C16" s="129"/>
      <c r="D16" s="129"/>
      <c r="E16" s="129"/>
      <c r="F16" s="129"/>
      <c r="G16" s="129"/>
      <c r="H16" s="129"/>
      <c r="I16" s="129"/>
      <c r="J16" s="129"/>
      <c r="K16" s="129"/>
      <c r="L16" s="129"/>
      <c r="M16" s="129"/>
      <c r="N16" s="129"/>
      <c r="O16" s="15"/>
      <c r="P16" s="15"/>
      <c r="Q16" s="15"/>
      <c r="R16" s="15"/>
      <c r="S16" s="15"/>
      <c r="T16" s="15"/>
    </row>
    <row r="17" spans="1:20" ht="19.5" customHeight="1" x14ac:dyDescent="0.35">
      <c r="A17" s="15"/>
      <c r="B17" s="15"/>
      <c r="C17" s="15"/>
      <c r="D17" s="15"/>
      <c r="E17" s="15"/>
      <c r="F17" s="15"/>
      <c r="G17" s="15"/>
      <c r="H17" s="15"/>
      <c r="I17" s="15"/>
      <c r="J17" s="15"/>
      <c r="K17" s="15"/>
      <c r="L17" s="15"/>
      <c r="M17" s="15"/>
      <c r="N17" s="15"/>
      <c r="O17" s="15"/>
      <c r="P17" s="15"/>
      <c r="Q17" s="15"/>
      <c r="R17" s="15"/>
      <c r="S17" s="15"/>
      <c r="T17" s="15"/>
    </row>
    <row r="18" spans="1:20" ht="30" customHeight="1" x14ac:dyDescent="0.35">
      <c r="A18" s="15"/>
      <c r="B18" s="130" t="s">
        <v>233</v>
      </c>
      <c r="C18" s="130"/>
      <c r="D18" s="130"/>
      <c r="E18" s="130"/>
      <c r="F18" s="130"/>
      <c r="G18" s="130"/>
      <c r="H18" s="130"/>
      <c r="I18" s="130"/>
      <c r="J18" s="130"/>
      <c r="K18" s="130"/>
      <c r="L18" s="130"/>
      <c r="M18" s="130"/>
      <c r="N18" s="130"/>
      <c r="O18" s="15"/>
      <c r="P18" s="15"/>
      <c r="Q18" s="15"/>
      <c r="R18" s="15"/>
      <c r="S18" s="15"/>
      <c r="T18" s="15"/>
    </row>
    <row r="19" spans="1:20" ht="18" customHeight="1" x14ac:dyDescent="0.35">
      <c r="A19" s="15"/>
      <c r="B19" s="131" t="s">
        <v>199</v>
      </c>
      <c r="C19" s="131"/>
      <c r="D19" s="131"/>
      <c r="E19" s="131"/>
      <c r="F19" s="131"/>
      <c r="G19" s="131"/>
      <c r="H19" s="131"/>
      <c r="I19" s="131"/>
      <c r="J19" s="131"/>
      <c r="K19" s="131"/>
      <c r="L19" s="131"/>
      <c r="M19" s="131"/>
      <c r="N19" s="131"/>
      <c r="O19" s="15"/>
      <c r="P19" s="15"/>
      <c r="Q19" s="15"/>
      <c r="R19" s="15"/>
      <c r="S19" s="15"/>
      <c r="T19" s="15"/>
    </row>
    <row r="20" spans="1:20" ht="21.75" customHeight="1" x14ac:dyDescent="0.35">
      <c r="A20" s="15"/>
      <c r="B20" s="25" t="s">
        <v>62</v>
      </c>
      <c r="C20" s="25" t="s">
        <v>63</v>
      </c>
      <c r="D20" s="25" t="s">
        <v>64</v>
      </c>
      <c r="E20" s="25" t="s">
        <v>65</v>
      </c>
      <c r="F20" s="25" t="s">
        <v>66</v>
      </c>
      <c r="G20" s="25" t="s">
        <v>67</v>
      </c>
      <c r="H20" s="25" t="s">
        <v>68</v>
      </c>
      <c r="I20" s="25" t="s">
        <v>69</v>
      </c>
      <c r="J20" s="15"/>
      <c r="K20" s="15"/>
      <c r="L20" s="15"/>
      <c r="M20" s="15"/>
      <c r="N20" s="15"/>
      <c r="O20" s="15"/>
      <c r="P20" s="15"/>
      <c r="Q20" s="15"/>
      <c r="R20" s="15"/>
      <c r="S20" s="15"/>
      <c r="T20" s="15"/>
    </row>
    <row r="21" spans="1:20" ht="25.5" customHeight="1" x14ac:dyDescent="0.35">
      <c r="A21" s="15"/>
      <c r="B21" s="26">
        <v>1</v>
      </c>
      <c r="C21" s="27" t="s">
        <v>153</v>
      </c>
      <c r="D21" s="28" t="s">
        <v>71</v>
      </c>
      <c r="E21" s="29" t="s">
        <v>79</v>
      </c>
      <c r="F21" s="30" t="s">
        <v>100</v>
      </c>
      <c r="G21" s="31" t="s">
        <v>86</v>
      </c>
      <c r="H21" s="42" t="s">
        <v>102</v>
      </c>
      <c r="I21" s="33" t="s">
        <v>234</v>
      </c>
      <c r="J21" s="15"/>
      <c r="K21" s="15"/>
      <c r="L21" s="15"/>
      <c r="M21" s="15"/>
      <c r="N21" s="15"/>
      <c r="O21" s="15"/>
      <c r="P21" s="15"/>
      <c r="Q21" s="15"/>
      <c r="R21" s="15"/>
      <c r="S21" s="15"/>
      <c r="T21" s="15"/>
    </row>
    <row r="22" spans="1:20" ht="25.5" customHeight="1" x14ac:dyDescent="0.35">
      <c r="A22" s="15"/>
      <c r="B22" s="34">
        <v>2</v>
      </c>
      <c r="C22" s="35" t="s">
        <v>77</v>
      </c>
      <c r="D22" s="36" t="s">
        <v>78</v>
      </c>
      <c r="E22" s="37" t="s">
        <v>79</v>
      </c>
      <c r="F22" s="38" t="s">
        <v>80</v>
      </c>
      <c r="G22" s="39" t="s">
        <v>96</v>
      </c>
      <c r="H22" s="40" t="s">
        <v>82</v>
      </c>
      <c r="I22" s="41" t="s">
        <v>83</v>
      </c>
      <c r="J22" s="15"/>
      <c r="K22" s="15"/>
      <c r="L22" s="15"/>
      <c r="M22" s="15"/>
      <c r="N22" s="15"/>
      <c r="O22" s="15"/>
      <c r="P22" s="15"/>
      <c r="Q22" s="15"/>
      <c r="R22" s="15"/>
      <c r="S22" s="15"/>
      <c r="T22" s="15"/>
    </row>
    <row r="23" spans="1:20" ht="25.5" customHeight="1" x14ac:dyDescent="0.35">
      <c r="A23" s="15"/>
      <c r="B23" s="26">
        <v>3</v>
      </c>
      <c r="C23" s="27" t="s">
        <v>106</v>
      </c>
      <c r="D23" s="28" t="s">
        <v>107</v>
      </c>
      <c r="E23" s="29" t="s">
        <v>72</v>
      </c>
      <c r="F23" s="30" t="s">
        <v>100</v>
      </c>
      <c r="G23" s="31" t="s">
        <v>86</v>
      </c>
      <c r="H23" s="42" t="s">
        <v>102</v>
      </c>
      <c r="I23" s="33" t="s">
        <v>235</v>
      </c>
      <c r="J23" s="15"/>
      <c r="K23" s="15"/>
      <c r="L23" s="15"/>
      <c r="M23" s="15"/>
      <c r="N23" s="15"/>
      <c r="O23" s="15"/>
      <c r="P23" s="15"/>
      <c r="Q23" s="15"/>
      <c r="R23" s="15"/>
      <c r="S23" s="15"/>
      <c r="T23" s="15"/>
    </row>
    <row r="24" spans="1:20" ht="25.5" customHeight="1" x14ac:dyDescent="0.35">
      <c r="A24" s="15"/>
      <c r="B24" s="34">
        <v>4</v>
      </c>
      <c r="C24" s="35" t="s">
        <v>112</v>
      </c>
      <c r="D24" s="36" t="s">
        <v>236</v>
      </c>
      <c r="E24" s="37" t="s">
        <v>79</v>
      </c>
      <c r="F24" s="38" t="s">
        <v>100</v>
      </c>
      <c r="G24" s="39" t="s">
        <v>101</v>
      </c>
      <c r="H24" s="40" t="s">
        <v>82</v>
      </c>
      <c r="I24" s="41" t="s">
        <v>237</v>
      </c>
      <c r="J24" s="15"/>
      <c r="K24" s="15"/>
      <c r="L24" s="15"/>
      <c r="M24" s="15"/>
      <c r="N24" s="15"/>
      <c r="O24" s="15"/>
      <c r="P24" s="15"/>
      <c r="Q24" s="15"/>
      <c r="R24" s="15"/>
      <c r="S24" s="15"/>
      <c r="T24" s="15"/>
    </row>
    <row r="25" spans="1:20" ht="25.5" customHeight="1" x14ac:dyDescent="0.35">
      <c r="A25" s="15"/>
      <c r="B25" s="26">
        <v>5</v>
      </c>
      <c r="C25" s="27" t="s">
        <v>88</v>
      </c>
      <c r="D25" s="28" t="s">
        <v>89</v>
      </c>
      <c r="E25" s="29" t="s">
        <v>72</v>
      </c>
      <c r="F25" s="30" t="s">
        <v>90</v>
      </c>
      <c r="G25" s="31" t="s">
        <v>148</v>
      </c>
      <c r="H25" s="40" t="s">
        <v>82</v>
      </c>
      <c r="I25" s="33" t="s">
        <v>238</v>
      </c>
      <c r="J25" s="15"/>
      <c r="K25" s="15"/>
      <c r="L25" s="15"/>
      <c r="M25" s="15"/>
      <c r="N25" s="15"/>
      <c r="O25" s="15"/>
      <c r="P25" s="15"/>
      <c r="Q25" s="15"/>
      <c r="R25" s="15"/>
      <c r="S25" s="15"/>
      <c r="T25" s="15"/>
    </row>
    <row r="26" spans="1:20" ht="25.5" customHeight="1" x14ac:dyDescent="0.35">
      <c r="A26" s="15"/>
      <c r="B26" s="34">
        <v>6</v>
      </c>
      <c r="C26" s="35" t="s">
        <v>239</v>
      </c>
      <c r="D26" s="36" t="s">
        <v>163</v>
      </c>
      <c r="E26" s="37" t="s">
        <v>79</v>
      </c>
      <c r="F26" s="38" t="s">
        <v>100</v>
      </c>
      <c r="G26" s="39" t="s">
        <v>86</v>
      </c>
      <c r="H26" s="40" t="s">
        <v>82</v>
      </c>
      <c r="I26" s="41" t="s">
        <v>240</v>
      </c>
      <c r="J26" s="15"/>
      <c r="K26" s="15"/>
      <c r="L26" s="15"/>
      <c r="M26" s="15"/>
      <c r="N26" s="15"/>
      <c r="O26" s="15"/>
      <c r="P26" s="15"/>
      <c r="Q26" s="15"/>
      <c r="R26" s="15"/>
      <c r="S26" s="15"/>
      <c r="T26" s="15"/>
    </row>
    <row r="27" spans="1:20" ht="25.5" customHeight="1" x14ac:dyDescent="0.35">
      <c r="A27" s="15"/>
      <c r="B27" s="26">
        <v>7</v>
      </c>
      <c r="C27" s="27" t="s">
        <v>176</v>
      </c>
      <c r="D27" s="28" t="s">
        <v>177</v>
      </c>
      <c r="E27" s="29" t="s">
        <v>79</v>
      </c>
      <c r="F27" s="30" t="s">
        <v>100</v>
      </c>
      <c r="G27" s="31" t="s">
        <v>96</v>
      </c>
      <c r="H27" s="40" t="s">
        <v>82</v>
      </c>
      <c r="I27" s="33" t="s">
        <v>241</v>
      </c>
      <c r="J27" s="15"/>
      <c r="K27" s="15"/>
      <c r="L27" s="15"/>
      <c r="M27" s="15"/>
      <c r="N27" s="15"/>
      <c r="O27" s="15"/>
      <c r="P27" s="15"/>
      <c r="Q27" s="15"/>
      <c r="R27" s="15"/>
      <c r="S27" s="15"/>
      <c r="T27" s="15"/>
    </row>
    <row r="28" spans="1:20" ht="25.5" customHeight="1" x14ac:dyDescent="0.35">
      <c r="A28" s="15"/>
      <c r="B28" s="34">
        <v>8</v>
      </c>
      <c r="C28" s="35" t="s">
        <v>242</v>
      </c>
      <c r="D28" s="36" t="s">
        <v>94</v>
      </c>
      <c r="E28" s="37" t="s">
        <v>79</v>
      </c>
      <c r="F28" s="38" t="s">
        <v>80</v>
      </c>
      <c r="G28" s="39" t="s">
        <v>96</v>
      </c>
      <c r="H28" s="40" t="s">
        <v>82</v>
      </c>
      <c r="I28" s="41" t="s">
        <v>243</v>
      </c>
      <c r="J28" s="15"/>
      <c r="K28" s="15"/>
      <c r="L28" s="15"/>
      <c r="M28" s="15"/>
      <c r="N28" s="15"/>
      <c r="O28" s="15"/>
      <c r="P28" s="15"/>
      <c r="Q28" s="15"/>
      <c r="R28" s="15"/>
      <c r="S28" s="15"/>
      <c r="T28" s="15"/>
    </row>
    <row r="29" spans="1:20" ht="19.5" customHeight="1" x14ac:dyDescent="0.35">
      <c r="A29" s="15"/>
      <c r="B29" s="129" t="s">
        <v>104</v>
      </c>
      <c r="C29" s="129"/>
      <c r="D29" s="129"/>
      <c r="E29" s="129"/>
      <c r="F29" s="129"/>
      <c r="G29" s="129"/>
      <c r="H29" s="129"/>
      <c r="I29" s="129"/>
      <c r="J29" s="129"/>
      <c r="K29" s="129"/>
      <c r="L29" s="129"/>
      <c r="M29" s="129"/>
      <c r="N29" s="129"/>
      <c r="O29" s="15"/>
      <c r="P29" s="15"/>
      <c r="Q29" s="15"/>
      <c r="R29" s="15"/>
      <c r="S29" s="15"/>
      <c r="T29" s="15"/>
    </row>
    <row r="30" spans="1:20" ht="19.5" customHeight="1" x14ac:dyDescent="0.35">
      <c r="A30" s="15"/>
      <c r="B30" s="15"/>
      <c r="C30" s="15"/>
      <c r="D30" s="15"/>
      <c r="E30" s="15"/>
      <c r="F30" s="15"/>
      <c r="G30" s="15"/>
      <c r="H30" s="15"/>
      <c r="I30" s="15"/>
      <c r="J30" s="15"/>
      <c r="K30" s="15"/>
      <c r="L30" s="15"/>
      <c r="M30" s="15"/>
      <c r="N30" s="15"/>
      <c r="O30" s="15"/>
      <c r="P30" s="15"/>
      <c r="Q30" s="15"/>
      <c r="R30" s="15"/>
      <c r="S30" s="15"/>
      <c r="T30" s="15"/>
    </row>
    <row r="31" spans="1:20" ht="24" customHeight="1" x14ac:dyDescent="0.35">
      <c r="A31" s="15"/>
      <c r="B31" s="139" t="s">
        <v>244</v>
      </c>
      <c r="C31" s="139"/>
      <c r="D31" s="139"/>
      <c r="E31" s="139"/>
      <c r="F31" s="139"/>
      <c r="G31" s="139"/>
      <c r="H31" s="139"/>
      <c r="I31" s="139"/>
      <c r="J31" s="15"/>
      <c r="K31" s="15"/>
      <c r="L31" s="15"/>
      <c r="M31" s="15"/>
      <c r="N31" s="15"/>
      <c r="O31" s="15"/>
      <c r="P31" s="15"/>
      <c r="Q31" s="15"/>
      <c r="R31" s="15"/>
      <c r="S31" s="15"/>
      <c r="T31" s="15"/>
    </row>
    <row r="32" spans="1:20" ht="19.5" customHeight="1" x14ac:dyDescent="0.35">
      <c r="A32" s="15"/>
      <c r="B32" s="15"/>
      <c r="C32" s="15"/>
      <c r="D32" s="15"/>
      <c r="E32" s="15"/>
      <c r="F32" s="15"/>
      <c r="G32" s="15"/>
      <c r="H32" s="15"/>
      <c r="I32" s="15"/>
      <c r="J32" s="15"/>
      <c r="K32" s="15"/>
      <c r="L32" s="15"/>
      <c r="M32" s="15"/>
      <c r="N32" s="15"/>
      <c r="O32" s="15"/>
      <c r="P32" s="15"/>
      <c r="Q32" s="15"/>
      <c r="R32" s="15"/>
      <c r="S32" s="15"/>
      <c r="T32" s="15"/>
    </row>
    <row r="33" spans="1:20" ht="30" customHeight="1" x14ac:dyDescent="0.35">
      <c r="A33" s="15"/>
      <c r="B33" s="132" t="s">
        <v>245</v>
      </c>
      <c r="C33" s="132"/>
      <c r="D33" s="132"/>
      <c r="E33" s="132"/>
      <c r="F33" s="132"/>
      <c r="G33" s="132"/>
      <c r="H33" s="132"/>
      <c r="I33" s="132"/>
      <c r="J33" s="132"/>
      <c r="K33" s="132"/>
      <c r="L33" s="132"/>
      <c r="M33" s="132"/>
      <c r="N33" s="132"/>
      <c r="O33" s="15"/>
      <c r="P33" s="15"/>
      <c r="Q33" s="15"/>
      <c r="R33" s="15"/>
      <c r="S33" s="15"/>
      <c r="T33" s="15"/>
    </row>
    <row r="34" spans="1:20" ht="18" customHeight="1" x14ac:dyDescent="0.35">
      <c r="A34" s="15"/>
      <c r="B34" s="133" t="s">
        <v>246</v>
      </c>
      <c r="C34" s="133"/>
      <c r="D34" s="133"/>
      <c r="E34" s="133"/>
      <c r="F34" s="133"/>
      <c r="G34" s="133"/>
      <c r="H34" s="133"/>
      <c r="I34" s="133"/>
      <c r="J34" s="133"/>
      <c r="K34" s="133"/>
      <c r="L34" s="133"/>
      <c r="M34" s="133"/>
      <c r="N34" s="133"/>
      <c r="O34" s="15"/>
      <c r="P34" s="15"/>
      <c r="Q34" s="15"/>
      <c r="R34" s="15"/>
      <c r="S34" s="15"/>
      <c r="T34" s="15"/>
    </row>
    <row r="35" spans="1:20" ht="21.75" customHeight="1" x14ac:dyDescent="0.35">
      <c r="A35" s="15"/>
      <c r="B35" s="25" t="s">
        <v>62</v>
      </c>
      <c r="C35" s="25" t="s">
        <v>63</v>
      </c>
      <c r="D35" s="25" t="s">
        <v>64</v>
      </c>
      <c r="E35" s="25" t="s">
        <v>65</v>
      </c>
      <c r="F35" s="25" t="s">
        <v>66</v>
      </c>
      <c r="G35" s="25" t="s">
        <v>67</v>
      </c>
      <c r="H35" s="25" t="s">
        <v>68</v>
      </c>
      <c r="I35" s="25" t="s">
        <v>69</v>
      </c>
      <c r="J35" s="15"/>
      <c r="K35" s="15"/>
      <c r="L35" s="15"/>
      <c r="M35" s="15"/>
      <c r="N35" s="15"/>
      <c r="O35" s="15"/>
      <c r="P35" s="15"/>
      <c r="Q35" s="15"/>
      <c r="R35" s="15"/>
      <c r="S35" s="15"/>
      <c r="T35" s="15"/>
    </row>
    <row r="36" spans="1:20" ht="25.5" customHeight="1" x14ac:dyDescent="0.35">
      <c r="A36" s="15"/>
      <c r="B36" s="26">
        <v>1</v>
      </c>
      <c r="C36" s="27" t="s">
        <v>125</v>
      </c>
      <c r="D36" s="28" t="s">
        <v>126</v>
      </c>
      <c r="E36" s="29" t="s">
        <v>127</v>
      </c>
      <c r="F36" s="30" t="s">
        <v>73</v>
      </c>
      <c r="G36" s="31" t="s">
        <v>128</v>
      </c>
      <c r="H36" s="32" t="s">
        <v>75</v>
      </c>
      <c r="I36" s="33" t="s">
        <v>247</v>
      </c>
      <c r="J36" s="15"/>
      <c r="K36" s="15"/>
      <c r="L36" s="15"/>
      <c r="M36" s="15"/>
      <c r="N36" s="15"/>
      <c r="O36" s="15"/>
      <c r="P36" s="15"/>
      <c r="Q36" s="15"/>
      <c r="R36" s="15"/>
      <c r="S36" s="15"/>
      <c r="T36" s="15"/>
    </row>
    <row r="37" spans="1:20" ht="25.5" customHeight="1" x14ac:dyDescent="0.35">
      <c r="A37" s="15"/>
      <c r="B37" s="34">
        <v>2</v>
      </c>
      <c r="C37" s="35" t="s">
        <v>133</v>
      </c>
      <c r="D37" s="36" t="s">
        <v>134</v>
      </c>
      <c r="E37" s="37" t="s">
        <v>79</v>
      </c>
      <c r="F37" s="38" t="s">
        <v>80</v>
      </c>
      <c r="G37" s="39" t="s">
        <v>96</v>
      </c>
      <c r="H37" s="40" t="s">
        <v>82</v>
      </c>
      <c r="I37" s="41" t="s">
        <v>248</v>
      </c>
      <c r="J37" s="15"/>
      <c r="K37" s="15"/>
      <c r="L37" s="15"/>
      <c r="M37" s="15"/>
      <c r="N37" s="15"/>
      <c r="O37" s="15"/>
      <c r="P37" s="15"/>
      <c r="Q37" s="15"/>
      <c r="R37" s="15"/>
      <c r="S37" s="15"/>
      <c r="T37" s="15"/>
    </row>
    <row r="38" spans="1:20" ht="25.5" customHeight="1" x14ac:dyDescent="0.35">
      <c r="A38" s="15"/>
      <c r="B38" s="26">
        <v>3</v>
      </c>
      <c r="C38" s="27" t="s">
        <v>136</v>
      </c>
      <c r="D38" s="28" t="s">
        <v>137</v>
      </c>
      <c r="E38" s="29" t="s">
        <v>79</v>
      </c>
      <c r="F38" s="30" t="s">
        <v>95</v>
      </c>
      <c r="G38" s="31" t="s">
        <v>81</v>
      </c>
      <c r="H38" s="40" t="s">
        <v>82</v>
      </c>
      <c r="I38" s="33" t="s">
        <v>138</v>
      </c>
      <c r="J38" s="15"/>
      <c r="K38" s="15"/>
      <c r="L38" s="15"/>
      <c r="M38" s="15"/>
      <c r="N38" s="15"/>
      <c r="O38" s="15"/>
      <c r="P38" s="15"/>
      <c r="Q38" s="15"/>
      <c r="R38" s="15"/>
      <c r="S38" s="15"/>
      <c r="T38" s="15"/>
    </row>
    <row r="39" spans="1:20" ht="25.5" customHeight="1" x14ac:dyDescent="0.35">
      <c r="A39" s="15"/>
      <c r="B39" s="34">
        <v>4</v>
      </c>
      <c r="C39" s="35" t="s">
        <v>249</v>
      </c>
      <c r="D39" s="36" t="s">
        <v>250</v>
      </c>
      <c r="E39" s="37" t="s">
        <v>79</v>
      </c>
      <c r="F39" s="38" t="s">
        <v>251</v>
      </c>
      <c r="G39" s="39" t="s">
        <v>101</v>
      </c>
      <c r="H39" s="40" t="s">
        <v>82</v>
      </c>
      <c r="I39" s="41" t="s">
        <v>252</v>
      </c>
      <c r="J39" s="15"/>
      <c r="K39" s="15"/>
      <c r="L39" s="15"/>
      <c r="M39" s="15"/>
      <c r="N39" s="15"/>
      <c r="O39" s="15"/>
      <c r="P39" s="15"/>
      <c r="Q39" s="15"/>
      <c r="R39" s="15"/>
      <c r="S39" s="15"/>
      <c r="T39" s="15"/>
    </row>
    <row r="40" spans="1:20" ht="25.5" customHeight="1" x14ac:dyDescent="0.35">
      <c r="A40" s="15"/>
      <c r="B40" s="26">
        <v>5</v>
      </c>
      <c r="C40" s="27" t="s">
        <v>145</v>
      </c>
      <c r="D40" s="28" t="s">
        <v>146</v>
      </c>
      <c r="E40" s="29" t="s">
        <v>127</v>
      </c>
      <c r="F40" s="30" t="s">
        <v>147</v>
      </c>
      <c r="G40" s="31" t="s">
        <v>148</v>
      </c>
      <c r="H40" s="40" t="s">
        <v>82</v>
      </c>
      <c r="I40" s="33" t="s">
        <v>253</v>
      </c>
      <c r="J40" s="15"/>
      <c r="K40" s="15"/>
      <c r="L40" s="15"/>
      <c r="M40" s="15"/>
      <c r="N40" s="15"/>
      <c r="O40" s="15"/>
      <c r="P40" s="15"/>
      <c r="Q40" s="15"/>
      <c r="R40" s="15"/>
      <c r="S40" s="15"/>
      <c r="T40" s="15"/>
    </row>
    <row r="41" spans="1:20" ht="25.5" customHeight="1" x14ac:dyDescent="0.35">
      <c r="A41" s="15"/>
      <c r="B41" s="34">
        <v>6</v>
      </c>
      <c r="C41" s="35" t="s">
        <v>142</v>
      </c>
      <c r="D41" s="36" t="s">
        <v>143</v>
      </c>
      <c r="E41" s="37" t="s">
        <v>79</v>
      </c>
      <c r="F41" s="38" t="s">
        <v>80</v>
      </c>
      <c r="G41" s="39" t="s">
        <v>148</v>
      </c>
      <c r="H41" s="40" t="s">
        <v>82</v>
      </c>
      <c r="I41" s="41" t="s">
        <v>254</v>
      </c>
      <c r="J41" s="15"/>
      <c r="K41" s="15"/>
      <c r="L41" s="15"/>
      <c r="M41" s="15"/>
      <c r="N41" s="15"/>
      <c r="O41" s="15"/>
      <c r="P41" s="15"/>
      <c r="Q41" s="15"/>
      <c r="R41" s="15"/>
      <c r="S41" s="15"/>
      <c r="T41" s="15"/>
    </row>
    <row r="42" spans="1:20" ht="19.5" customHeight="1" x14ac:dyDescent="0.35">
      <c r="A42" s="15"/>
      <c r="B42" s="129" t="s">
        <v>104</v>
      </c>
      <c r="C42" s="129"/>
      <c r="D42" s="129"/>
      <c r="E42" s="129"/>
      <c r="F42" s="129"/>
      <c r="G42" s="129"/>
      <c r="H42" s="129"/>
      <c r="I42" s="129"/>
      <c r="J42" s="129"/>
      <c r="K42" s="129"/>
      <c r="L42" s="129"/>
      <c r="M42" s="129"/>
      <c r="N42" s="129"/>
      <c r="O42" s="15"/>
      <c r="P42" s="15"/>
      <c r="Q42" s="15"/>
      <c r="R42" s="15"/>
      <c r="S42" s="15"/>
      <c r="T42" s="15"/>
    </row>
    <row r="43" spans="1:20" ht="19.5" customHeight="1" x14ac:dyDescent="0.35">
      <c r="A43" s="15"/>
      <c r="B43" s="15"/>
      <c r="C43" s="15"/>
      <c r="D43" s="15"/>
      <c r="E43" s="15"/>
      <c r="F43" s="15"/>
      <c r="G43" s="15"/>
      <c r="H43" s="15"/>
      <c r="I43" s="15"/>
      <c r="J43" s="15"/>
      <c r="K43" s="15"/>
      <c r="L43" s="15"/>
      <c r="M43" s="15"/>
      <c r="N43" s="15"/>
      <c r="O43" s="15"/>
      <c r="P43" s="15"/>
      <c r="Q43" s="15"/>
      <c r="R43" s="15"/>
      <c r="S43" s="15"/>
      <c r="T43" s="15"/>
    </row>
    <row r="44" spans="1:20" ht="30" customHeight="1" x14ac:dyDescent="0.35">
      <c r="A44" s="15"/>
      <c r="B44" s="135" t="s">
        <v>255</v>
      </c>
      <c r="C44" s="135"/>
      <c r="D44" s="135"/>
      <c r="E44" s="135"/>
      <c r="F44" s="135"/>
      <c r="G44" s="135"/>
      <c r="H44" s="135"/>
      <c r="I44" s="135"/>
      <c r="J44" s="135"/>
      <c r="K44" s="135"/>
      <c r="L44" s="135"/>
      <c r="M44" s="135"/>
      <c r="N44" s="135"/>
      <c r="O44" s="15"/>
      <c r="P44" s="15"/>
      <c r="Q44" s="15"/>
      <c r="R44" s="15"/>
      <c r="S44" s="15"/>
      <c r="T44" s="15"/>
    </row>
    <row r="45" spans="1:20" ht="18" customHeight="1" x14ac:dyDescent="0.35">
      <c r="A45" s="15"/>
      <c r="B45" s="136" t="s">
        <v>256</v>
      </c>
      <c r="C45" s="136"/>
      <c r="D45" s="136"/>
      <c r="E45" s="136"/>
      <c r="F45" s="136"/>
      <c r="G45" s="136"/>
      <c r="H45" s="136"/>
      <c r="I45" s="136"/>
      <c r="J45" s="136"/>
      <c r="K45" s="136"/>
      <c r="L45" s="136"/>
      <c r="M45" s="136"/>
      <c r="N45" s="136"/>
      <c r="O45" s="15"/>
      <c r="P45" s="15"/>
      <c r="Q45" s="15"/>
      <c r="R45" s="15"/>
      <c r="S45" s="15"/>
      <c r="T45" s="15"/>
    </row>
    <row r="46" spans="1:20" ht="21.75" customHeight="1" x14ac:dyDescent="0.35">
      <c r="A46" s="15"/>
      <c r="B46" s="25" t="s">
        <v>62</v>
      </c>
      <c r="C46" s="25" t="s">
        <v>63</v>
      </c>
      <c r="D46" s="25" t="s">
        <v>64</v>
      </c>
      <c r="E46" s="25" t="s">
        <v>65</v>
      </c>
      <c r="F46" s="25" t="s">
        <v>66</v>
      </c>
      <c r="G46" s="25" t="s">
        <v>67</v>
      </c>
      <c r="H46" s="25" t="s">
        <v>68</v>
      </c>
      <c r="I46" s="25" t="s">
        <v>69</v>
      </c>
      <c r="J46" s="15"/>
      <c r="K46" s="15"/>
      <c r="L46" s="15"/>
      <c r="M46" s="15"/>
      <c r="N46" s="15"/>
      <c r="O46" s="15"/>
      <c r="P46" s="15"/>
      <c r="Q46" s="15"/>
      <c r="R46" s="15"/>
      <c r="S46" s="15"/>
      <c r="T46" s="15"/>
    </row>
    <row r="47" spans="1:20" ht="25.5" customHeight="1" x14ac:dyDescent="0.35">
      <c r="A47" s="15"/>
      <c r="B47" s="26">
        <v>1</v>
      </c>
      <c r="C47" s="27" t="s">
        <v>139</v>
      </c>
      <c r="D47" s="28" t="s">
        <v>140</v>
      </c>
      <c r="E47" s="29" t="s">
        <v>127</v>
      </c>
      <c r="F47" s="30" t="s">
        <v>95</v>
      </c>
      <c r="G47" s="31" t="s">
        <v>101</v>
      </c>
      <c r="H47" s="42" t="s">
        <v>102</v>
      </c>
      <c r="I47" s="33" t="s">
        <v>257</v>
      </c>
      <c r="J47" s="15"/>
      <c r="K47" s="15"/>
      <c r="L47" s="15"/>
      <c r="M47" s="15"/>
      <c r="N47" s="15"/>
      <c r="O47" s="15"/>
      <c r="P47" s="15"/>
      <c r="Q47" s="15"/>
      <c r="R47" s="15"/>
      <c r="S47" s="15"/>
      <c r="T47" s="15"/>
    </row>
    <row r="48" spans="1:20" ht="25.5" customHeight="1" x14ac:dyDescent="0.35">
      <c r="A48" s="15"/>
      <c r="B48" s="34">
        <v>2</v>
      </c>
      <c r="C48" s="35" t="s">
        <v>167</v>
      </c>
      <c r="D48" s="36" t="s">
        <v>168</v>
      </c>
      <c r="E48" s="37" t="s">
        <v>79</v>
      </c>
      <c r="F48" s="38" t="s">
        <v>80</v>
      </c>
      <c r="G48" s="39" t="s">
        <v>101</v>
      </c>
      <c r="H48" s="40" t="s">
        <v>82</v>
      </c>
      <c r="I48" s="41" t="s">
        <v>258</v>
      </c>
      <c r="J48" s="15"/>
      <c r="K48" s="15"/>
      <c r="L48" s="15"/>
      <c r="M48" s="15"/>
      <c r="N48" s="15"/>
      <c r="O48" s="15"/>
      <c r="P48" s="15"/>
      <c r="Q48" s="15"/>
      <c r="R48" s="15"/>
      <c r="S48" s="15"/>
      <c r="T48" s="15"/>
    </row>
    <row r="49" spans="1:20" ht="25.5" customHeight="1" x14ac:dyDescent="0.35">
      <c r="A49" s="15"/>
      <c r="B49" s="26">
        <v>3</v>
      </c>
      <c r="C49" s="27" t="s">
        <v>229</v>
      </c>
      <c r="D49" s="28" t="s">
        <v>140</v>
      </c>
      <c r="E49" s="29" t="s">
        <v>79</v>
      </c>
      <c r="F49" s="30" t="s">
        <v>147</v>
      </c>
      <c r="G49" s="31" t="s">
        <v>148</v>
      </c>
      <c r="H49" s="40" t="s">
        <v>82</v>
      </c>
      <c r="I49" s="33" t="s">
        <v>259</v>
      </c>
      <c r="J49" s="15"/>
      <c r="K49" s="15"/>
      <c r="L49" s="15"/>
      <c r="M49" s="15"/>
      <c r="N49" s="15"/>
      <c r="O49" s="15"/>
      <c r="P49" s="15"/>
      <c r="Q49" s="15"/>
      <c r="R49" s="15"/>
      <c r="S49" s="15"/>
      <c r="T49" s="15"/>
    </row>
    <row r="50" spans="1:20" ht="25.5" customHeight="1" x14ac:dyDescent="0.35">
      <c r="A50" s="15"/>
      <c r="B50" s="34">
        <v>4</v>
      </c>
      <c r="C50" s="35" t="s">
        <v>153</v>
      </c>
      <c r="D50" s="36" t="s">
        <v>260</v>
      </c>
      <c r="E50" s="37" t="s">
        <v>79</v>
      </c>
      <c r="F50" s="38" t="s">
        <v>80</v>
      </c>
      <c r="G50" s="39" t="s">
        <v>101</v>
      </c>
      <c r="H50" s="40" t="s">
        <v>82</v>
      </c>
      <c r="I50" s="41" t="s">
        <v>261</v>
      </c>
      <c r="J50" s="15"/>
      <c r="K50" s="15"/>
      <c r="L50" s="15"/>
      <c r="M50" s="15"/>
      <c r="N50" s="15"/>
      <c r="O50" s="15"/>
      <c r="P50" s="15"/>
      <c r="Q50" s="15"/>
      <c r="R50" s="15"/>
      <c r="S50" s="15"/>
      <c r="T50" s="15"/>
    </row>
    <row r="51" spans="1:20" ht="25.5" customHeight="1" x14ac:dyDescent="0.35">
      <c r="A51" s="15"/>
      <c r="B51" s="26">
        <v>5</v>
      </c>
      <c r="C51" s="27" t="s">
        <v>109</v>
      </c>
      <c r="D51" s="28" t="s">
        <v>110</v>
      </c>
      <c r="E51" s="29" t="s">
        <v>79</v>
      </c>
      <c r="F51" s="30" t="s">
        <v>80</v>
      </c>
      <c r="G51" s="31" t="s">
        <v>101</v>
      </c>
      <c r="H51" s="40" t="s">
        <v>82</v>
      </c>
      <c r="I51" s="33" t="s">
        <v>262</v>
      </c>
      <c r="J51" s="15"/>
      <c r="K51" s="15"/>
      <c r="L51" s="15"/>
      <c r="M51" s="15"/>
      <c r="N51" s="15"/>
      <c r="O51" s="15"/>
      <c r="P51" s="15"/>
      <c r="Q51" s="15"/>
      <c r="R51" s="15"/>
      <c r="S51" s="15"/>
      <c r="T51" s="15"/>
    </row>
    <row r="52" spans="1:20" ht="25.5" customHeight="1" x14ac:dyDescent="0.35">
      <c r="A52" s="15"/>
      <c r="B52" s="34">
        <v>6</v>
      </c>
      <c r="C52" s="35" t="s">
        <v>204</v>
      </c>
      <c r="D52" s="36" t="s">
        <v>89</v>
      </c>
      <c r="E52" s="37" t="s">
        <v>79</v>
      </c>
      <c r="F52" s="38" t="s">
        <v>147</v>
      </c>
      <c r="G52" s="39" t="s">
        <v>148</v>
      </c>
      <c r="H52" s="40" t="s">
        <v>82</v>
      </c>
      <c r="I52" s="41" t="s">
        <v>263</v>
      </c>
      <c r="J52" s="15"/>
      <c r="K52" s="15"/>
      <c r="L52" s="15"/>
      <c r="M52" s="15"/>
      <c r="N52" s="15"/>
      <c r="O52" s="15"/>
      <c r="P52" s="15"/>
      <c r="Q52" s="15"/>
      <c r="R52" s="15"/>
      <c r="S52" s="15"/>
      <c r="T52" s="15"/>
    </row>
    <row r="53" spans="1:20" ht="19.5" customHeight="1" x14ac:dyDescent="0.35">
      <c r="A53" s="15"/>
      <c r="B53" s="129" t="s">
        <v>104</v>
      </c>
      <c r="C53" s="129"/>
      <c r="D53" s="129"/>
      <c r="E53" s="129"/>
      <c r="F53" s="129"/>
      <c r="G53" s="129"/>
      <c r="H53" s="129"/>
      <c r="I53" s="129"/>
      <c r="J53" s="129"/>
      <c r="K53" s="129"/>
      <c r="L53" s="129"/>
      <c r="M53" s="129"/>
      <c r="N53" s="129"/>
      <c r="O53" s="15"/>
      <c r="P53" s="15"/>
      <c r="Q53" s="15"/>
      <c r="R53" s="15"/>
      <c r="S53" s="15"/>
      <c r="T53" s="15"/>
    </row>
    <row r="54" spans="1:20" ht="19.5" customHeight="1" x14ac:dyDescent="0.35">
      <c r="A54" s="15"/>
      <c r="B54" s="15"/>
      <c r="C54" s="15"/>
      <c r="D54" s="15"/>
      <c r="E54" s="15"/>
      <c r="F54" s="15"/>
      <c r="G54" s="15"/>
      <c r="H54" s="15"/>
      <c r="I54" s="15"/>
      <c r="J54" s="15"/>
      <c r="K54" s="15"/>
      <c r="L54" s="15"/>
      <c r="M54" s="15"/>
      <c r="N54" s="15"/>
      <c r="O54" s="15"/>
      <c r="P54" s="15"/>
      <c r="Q54" s="15"/>
      <c r="R54" s="15"/>
      <c r="S54" s="15"/>
      <c r="T54" s="15"/>
    </row>
    <row r="55" spans="1:20" ht="24" customHeight="1" x14ac:dyDescent="0.35">
      <c r="A55" s="15"/>
      <c r="B55" s="139" t="s">
        <v>264</v>
      </c>
      <c r="C55" s="139"/>
      <c r="D55" s="139"/>
      <c r="E55" s="139"/>
      <c r="F55" s="139"/>
      <c r="G55" s="139"/>
      <c r="H55" s="139"/>
      <c r="I55" s="139"/>
      <c r="J55" s="15"/>
      <c r="K55" s="15"/>
      <c r="L55" s="15"/>
      <c r="M55" s="15"/>
      <c r="N55" s="15"/>
      <c r="O55" s="15"/>
      <c r="P55" s="15"/>
      <c r="Q55" s="15"/>
      <c r="R55" s="15"/>
      <c r="S55" s="15"/>
      <c r="T55" s="15"/>
    </row>
    <row r="56" spans="1:20" ht="19.5" customHeight="1" x14ac:dyDescent="0.35">
      <c r="A56" s="15"/>
      <c r="B56" s="15"/>
      <c r="C56" s="15"/>
      <c r="D56" s="15"/>
      <c r="E56" s="15"/>
      <c r="F56" s="15"/>
      <c r="G56" s="15"/>
      <c r="H56" s="15"/>
      <c r="I56" s="15"/>
      <c r="J56" s="15"/>
      <c r="K56" s="15"/>
      <c r="L56" s="15"/>
      <c r="M56" s="15"/>
      <c r="N56" s="15"/>
      <c r="O56" s="15"/>
      <c r="P56" s="15"/>
      <c r="Q56" s="15"/>
      <c r="R56" s="15"/>
      <c r="S56" s="15"/>
      <c r="T56" s="15"/>
    </row>
    <row r="57" spans="1:20" ht="19.5" customHeight="1" x14ac:dyDescent="0.35">
      <c r="A57" s="15"/>
      <c r="B57" s="15"/>
      <c r="C57" s="15"/>
      <c r="D57" s="15"/>
      <c r="E57" s="15"/>
      <c r="F57" s="15"/>
      <c r="G57" s="15"/>
      <c r="H57" s="15"/>
      <c r="I57" s="15"/>
      <c r="J57" s="15"/>
      <c r="K57" s="15"/>
      <c r="L57" s="15"/>
      <c r="M57" s="15"/>
      <c r="N57" s="15"/>
      <c r="O57" s="15"/>
      <c r="P57" s="15"/>
      <c r="Q57" s="15"/>
      <c r="R57" s="15"/>
      <c r="S57" s="15"/>
      <c r="T57" s="15"/>
    </row>
    <row r="58" spans="1:20" ht="19.5" customHeight="1" x14ac:dyDescent="0.35">
      <c r="A58" s="15"/>
      <c r="B58" s="15"/>
      <c r="C58" s="15"/>
      <c r="D58" s="15"/>
      <c r="E58" s="15"/>
      <c r="F58" s="15"/>
      <c r="G58" s="15"/>
      <c r="H58" s="15"/>
      <c r="I58" s="15"/>
      <c r="J58" s="15"/>
      <c r="K58" s="15"/>
      <c r="L58" s="15"/>
      <c r="M58" s="15"/>
      <c r="N58" s="15"/>
      <c r="O58" s="15"/>
      <c r="P58" s="15"/>
      <c r="Q58" s="15"/>
      <c r="R58" s="15"/>
      <c r="S58" s="15"/>
      <c r="T58" s="15"/>
    </row>
    <row r="59" spans="1:20" ht="19.5" customHeight="1" x14ac:dyDescent="0.35">
      <c r="A59" s="15"/>
      <c r="B59" s="15"/>
      <c r="C59" s="15"/>
      <c r="D59" s="15"/>
      <c r="E59" s="15"/>
      <c r="F59" s="15"/>
      <c r="G59" s="15"/>
      <c r="H59" s="15"/>
      <c r="I59" s="15"/>
      <c r="J59" s="15"/>
      <c r="K59" s="15"/>
      <c r="L59" s="15"/>
      <c r="M59" s="15"/>
      <c r="N59" s="15"/>
      <c r="O59" s="15"/>
      <c r="P59" s="15"/>
      <c r="Q59" s="15"/>
      <c r="R59" s="15"/>
      <c r="S59" s="15"/>
      <c r="T59" s="15"/>
    </row>
    <row r="60" spans="1:20" ht="19.5" customHeight="1" x14ac:dyDescent="0.35">
      <c r="A60" s="15"/>
      <c r="B60" s="15"/>
      <c r="C60" s="15"/>
      <c r="D60" s="15"/>
      <c r="E60" s="15"/>
      <c r="F60" s="15"/>
      <c r="G60" s="15"/>
      <c r="H60" s="15"/>
      <c r="I60" s="15"/>
      <c r="J60" s="15"/>
      <c r="K60" s="15"/>
      <c r="L60" s="15"/>
      <c r="M60" s="15"/>
      <c r="N60" s="15"/>
      <c r="O60" s="15"/>
      <c r="P60" s="15"/>
      <c r="Q60" s="15"/>
      <c r="R60" s="15"/>
      <c r="S60" s="15"/>
      <c r="T60" s="15"/>
    </row>
    <row r="61" spans="1:20" ht="19.5" customHeight="1" x14ac:dyDescent="0.35">
      <c r="A61" s="15"/>
      <c r="B61" s="15"/>
      <c r="C61" s="15"/>
      <c r="D61" s="15"/>
      <c r="E61" s="15"/>
      <c r="F61" s="15"/>
      <c r="G61" s="15"/>
      <c r="H61" s="15"/>
      <c r="I61" s="15"/>
      <c r="J61" s="15"/>
      <c r="K61" s="15"/>
      <c r="L61" s="15"/>
      <c r="M61" s="15"/>
      <c r="N61" s="15"/>
      <c r="O61" s="15"/>
      <c r="P61" s="15"/>
      <c r="Q61" s="15"/>
      <c r="R61" s="15"/>
      <c r="S61" s="15"/>
      <c r="T61" s="15"/>
    </row>
    <row r="62" spans="1:20" ht="19.5" customHeight="1" x14ac:dyDescent="0.35">
      <c r="A62" s="15"/>
      <c r="B62" s="15"/>
      <c r="C62" s="15"/>
      <c r="D62" s="15"/>
      <c r="E62" s="15"/>
      <c r="F62" s="15"/>
      <c r="G62" s="15"/>
      <c r="H62" s="15"/>
      <c r="I62" s="15"/>
      <c r="J62" s="15"/>
      <c r="K62" s="15"/>
      <c r="L62" s="15"/>
      <c r="M62" s="15"/>
      <c r="N62" s="15"/>
      <c r="O62" s="15"/>
      <c r="P62" s="15"/>
      <c r="Q62" s="15"/>
      <c r="R62" s="15"/>
      <c r="S62" s="15"/>
      <c r="T62" s="15"/>
    </row>
    <row r="63" spans="1:20" ht="19.5" customHeight="1" x14ac:dyDescent="0.35">
      <c r="A63" s="15"/>
      <c r="B63" s="15"/>
      <c r="C63" s="15"/>
      <c r="D63" s="15"/>
      <c r="E63" s="15"/>
      <c r="F63" s="15"/>
      <c r="G63" s="15"/>
      <c r="H63" s="15"/>
      <c r="I63" s="15"/>
      <c r="J63" s="15"/>
      <c r="K63" s="15"/>
      <c r="L63" s="15"/>
      <c r="M63" s="15"/>
      <c r="N63" s="15"/>
      <c r="O63" s="15"/>
      <c r="P63" s="15"/>
      <c r="Q63" s="15"/>
      <c r="R63" s="15"/>
      <c r="S63" s="15"/>
      <c r="T63" s="15"/>
    </row>
    <row r="64" spans="1:20" ht="19.5" customHeight="1" x14ac:dyDescent="0.35">
      <c r="A64" s="15"/>
      <c r="B64" s="15"/>
      <c r="C64" s="15"/>
      <c r="D64" s="15"/>
      <c r="E64" s="15"/>
      <c r="F64" s="15"/>
      <c r="G64" s="15"/>
      <c r="H64" s="15"/>
      <c r="I64" s="15"/>
      <c r="J64" s="15"/>
      <c r="K64" s="15"/>
      <c r="L64" s="15"/>
      <c r="M64" s="15"/>
      <c r="N64" s="15"/>
      <c r="O64" s="15"/>
      <c r="P64" s="15"/>
      <c r="Q64" s="15"/>
      <c r="R64" s="15"/>
      <c r="S64" s="15"/>
      <c r="T64" s="15"/>
    </row>
    <row r="65" spans="1:20" ht="19.5" customHeight="1" x14ac:dyDescent="0.35">
      <c r="A65" s="15"/>
      <c r="B65" s="15"/>
      <c r="C65" s="15"/>
      <c r="D65" s="15"/>
      <c r="E65" s="15"/>
      <c r="F65" s="15"/>
      <c r="G65" s="15"/>
      <c r="H65" s="15"/>
      <c r="I65" s="15"/>
      <c r="J65" s="15"/>
      <c r="K65" s="15"/>
      <c r="L65" s="15"/>
      <c r="M65" s="15"/>
      <c r="N65" s="15"/>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19.5" customHeight="1" x14ac:dyDescent="0.35">
      <c r="A67" s="15"/>
      <c r="B67" s="15"/>
      <c r="C67" s="15"/>
      <c r="D67" s="15"/>
      <c r="E67" s="15"/>
      <c r="F67" s="15"/>
      <c r="G67" s="15"/>
      <c r="H67" s="15"/>
      <c r="I67" s="15"/>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9.5" customHeight="1" x14ac:dyDescent="0.35">
      <c r="A80" s="15"/>
      <c r="B80" s="15"/>
      <c r="C80" s="15"/>
      <c r="D80" s="15"/>
      <c r="E80" s="15"/>
      <c r="F80" s="15"/>
      <c r="G80" s="15"/>
      <c r="H80" s="15"/>
      <c r="I80" s="15"/>
      <c r="J80" s="15"/>
      <c r="K80" s="15"/>
      <c r="L80" s="15"/>
      <c r="M80" s="15"/>
      <c r="N80" s="15"/>
      <c r="O80" s="15"/>
      <c r="P80" s="15"/>
      <c r="Q80" s="15"/>
      <c r="R80" s="15"/>
      <c r="S80" s="15"/>
      <c r="T80" s="15"/>
    </row>
    <row r="81" spans="1:20" ht="19.5" customHeight="1" x14ac:dyDescent="0.35">
      <c r="A81" s="15"/>
      <c r="B81" s="15"/>
      <c r="C81" s="15"/>
      <c r="D81" s="15"/>
      <c r="E81" s="15"/>
      <c r="F81" s="15"/>
      <c r="G81" s="15"/>
      <c r="H81" s="15"/>
      <c r="I81" s="15"/>
      <c r="J81" s="15"/>
      <c r="K81" s="15"/>
      <c r="L81" s="15"/>
      <c r="M81" s="15"/>
      <c r="N81" s="15"/>
      <c r="O81" s="15"/>
      <c r="P81" s="15"/>
      <c r="Q81" s="15"/>
      <c r="R81" s="15"/>
      <c r="S81" s="15"/>
      <c r="T81" s="15"/>
    </row>
    <row r="82" spans="1:20" ht="19.5" customHeight="1" x14ac:dyDescent="0.35">
      <c r="A82" s="15"/>
      <c r="B82" s="15"/>
      <c r="C82" s="15"/>
      <c r="D82" s="15"/>
      <c r="E82" s="15"/>
      <c r="F82" s="15"/>
      <c r="G82" s="15"/>
      <c r="H82" s="15"/>
      <c r="I82" s="15"/>
      <c r="J82" s="15"/>
      <c r="K82" s="15"/>
      <c r="L82" s="15"/>
      <c r="M82" s="15"/>
      <c r="N82" s="15"/>
      <c r="O82" s="15"/>
      <c r="P82" s="15"/>
      <c r="Q82" s="15"/>
      <c r="R82" s="15"/>
      <c r="S82" s="15"/>
      <c r="T82" s="15"/>
    </row>
    <row r="83" spans="1:20" ht="19.5" customHeight="1" x14ac:dyDescent="0.35">
      <c r="A83" s="15"/>
      <c r="B83" s="15"/>
      <c r="C83" s="15"/>
      <c r="D83" s="15"/>
      <c r="E83" s="15"/>
      <c r="F83" s="15"/>
      <c r="G83" s="15"/>
      <c r="H83" s="15"/>
      <c r="I83" s="15"/>
      <c r="J83" s="15"/>
      <c r="K83" s="15"/>
      <c r="L83" s="15"/>
      <c r="M83" s="15"/>
      <c r="N83" s="15"/>
      <c r="O83" s="15"/>
      <c r="P83" s="15"/>
      <c r="Q83" s="15"/>
      <c r="R83" s="15"/>
      <c r="S83" s="15"/>
      <c r="T83" s="15"/>
    </row>
    <row r="84" spans="1:20" ht="19.5" customHeight="1" x14ac:dyDescent="0.35">
      <c r="A84" s="15"/>
      <c r="B84" s="15"/>
      <c r="C84" s="15"/>
      <c r="D84" s="15"/>
      <c r="E84" s="15"/>
      <c r="F84" s="15"/>
      <c r="G84" s="15"/>
      <c r="H84" s="15"/>
      <c r="I84" s="15"/>
      <c r="J84" s="15"/>
      <c r="K84" s="15"/>
      <c r="L84" s="15"/>
      <c r="M84" s="15"/>
      <c r="N84" s="15"/>
      <c r="O84" s="15"/>
      <c r="P84" s="15"/>
      <c r="Q84" s="15"/>
      <c r="R84" s="15"/>
      <c r="S84" s="15"/>
      <c r="T84" s="15"/>
    </row>
    <row r="85" spans="1:20" ht="19.5" customHeight="1" x14ac:dyDescent="0.35">
      <c r="A85" s="15"/>
      <c r="B85" s="15"/>
      <c r="C85" s="15"/>
      <c r="D85" s="15"/>
      <c r="E85" s="15"/>
      <c r="F85" s="15"/>
      <c r="G85" s="15"/>
      <c r="H85" s="15"/>
      <c r="I85" s="15"/>
      <c r="J85" s="15"/>
      <c r="K85" s="15"/>
      <c r="L85" s="15"/>
      <c r="M85" s="15"/>
      <c r="N85" s="15"/>
      <c r="O85" s="15"/>
      <c r="P85" s="15"/>
      <c r="Q85" s="15"/>
      <c r="R85" s="15"/>
      <c r="S85" s="15"/>
      <c r="T85" s="15"/>
    </row>
    <row r="86" spans="1:20" ht="19.5" customHeight="1" x14ac:dyDescent="0.35">
      <c r="A86" s="15"/>
      <c r="B86" s="15"/>
      <c r="C86" s="15"/>
      <c r="D86" s="15"/>
      <c r="E86" s="15"/>
      <c r="F86" s="15"/>
      <c r="G86" s="15"/>
      <c r="H86" s="15"/>
      <c r="I86" s="15"/>
      <c r="J86" s="15"/>
      <c r="K86" s="15"/>
      <c r="L86" s="15"/>
      <c r="M86" s="15"/>
      <c r="N86" s="15"/>
      <c r="O86" s="15"/>
      <c r="P86" s="15"/>
      <c r="Q86" s="15"/>
      <c r="R86" s="15"/>
      <c r="S86" s="15"/>
      <c r="T86" s="15"/>
    </row>
    <row r="87" spans="1:20" ht="19.5" customHeight="1" x14ac:dyDescent="0.35">
      <c r="A87" s="15"/>
      <c r="B87" s="15"/>
      <c r="C87" s="15"/>
      <c r="D87" s="15"/>
      <c r="E87" s="15"/>
      <c r="F87" s="15"/>
      <c r="G87" s="15"/>
      <c r="H87" s="15"/>
      <c r="I87" s="15"/>
      <c r="J87" s="15"/>
      <c r="K87" s="15"/>
      <c r="L87" s="15"/>
      <c r="M87" s="15"/>
      <c r="N87" s="15"/>
      <c r="O87" s="15"/>
      <c r="P87" s="15"/>
      <c r="Q87" s="15"/>
      <c r="R87" s="15"/>
      <c r="S87" s="15"/>
      <c r="T87" s="15"/>
    </row>
    <row r="88" spans="1:20" ht="19.5" customHeight="1" x14ac:dyDescent="0.35">
      <c r="A88" s="15"/>
      <c r="B88" s="15"/>
      <c r="C88" s="15"/>
      <c r="D88" s="15"/>
      <c r="E88" s="15"/>
      <c r="F88" s="15"/>
      <c r="G88" s="15"/>
      <c r="H88" s="15"/>
      <c r="I88" s="15"/>
      <c r="J88" s="15"/>
      <c r="K88" s="15"/>
      <c r="L88" s="15"/>
      <c r="M88" s="15"/>
      <c r="N88" s="15"/>
      <c r="O88" s="15"/>
      <c r="P88" s="15"/>
      <c r="Q88" s="15"/>
      <c r="R88" s="15"/>
      <c r="S88" s="15"/>
      <c r="T88" s="15"/>
    </row>
    <row r="89" spans="1:20" ht="19.5" customHeight="1" x14ac:dyDescent="0.35">
      <c r="A89" s="15"/>
      <c r="B89" s="15"/>
      <c r="C89" s="15"/>
      <c r="D89" s="15"/>
      <c r="E89" s="15"/>
      <c r="F89" s="15"/>
      <c r="G89" s="15"/>
      <c r="H89" s="15"/>
      <c r="I89" s="15"/>
      <c r="J89" s="15"/>
      <c r="K89" s="15"/>
      <c r="L89" s="15"/>
      <c r="M89" s="15"/>
      <c r="N89" s="15"/>
      <c r="O89" s="15"/>
      <c r="P89" s="15"/>
      <c r="Q89" s="15"/>
      <c r="R89" s="15"/>
      <c r="S89" s="15"/>
      <c r="T89" s="15"/>
    </row>
    <row r="90" spans="1:20" ht="19.5" customHeight="1" x14ac:dyDescent="0.35">
      <c r="A90" s="15"/>
      <c r="B90" s="15"/>
      <c r="C90" s="15"/>
      <c r="D90" s="15"/>
      <c r="E90" s="15"/>
      <c r="F90" s="15"/>
      <c r="G90" s="15"/>
      <c r="H90" s="15"/>
      <c r="I90" s="15"/>
      <c r="J90" s="15"/>
      <c r="K90" s="15"/>
      <c r="L90" s="15"/>
      <c r="M90" s="15"/>
      <c r="N90" s="15"/>
      <c r="O90" s="15"/>
      <c r="P90" s="15"/>
      <c r="Q90" s="15"/>
      <c r="R90" s="15"/>
      <c r="S90" s="15"/>
      <c r="T90" s="15"/>
    </row>
    <row r="91" spans="1:20" ht="19.5" customHeight="1" x14ac:dyDescent="0.35">
      <c r="A91" s="15"/>
      <c r="B91" s="15"/>
      <c r="C91" s="15"/>
      <c r="D91" s="15"/>
      <c r="E91" s="15"/>
      <c r="F91" s="15"/>
      <c r="G91" s="15"/>
      <c r="H91" s="15"/>
      <c r="I91" s="15"/>
      <c r="J91" s="15"/>
      <c r="K91" s="15"/>
      <c r="L91" s="15"/>
      <c r="M91" s="15"/>
      <c r="N91" s="15"/>
      <c r="O91" s="15"/>
      <c r="P91" s="15"/>
      <c r="Q91" s="15"/>
      <c r="R91" s="15"/>
      <c r="S91" s="15"/>
      <c r="T91" s="15"/>
    </row>
    <row r="92" spans="1:20" ht="19.5" customHeight="1" x14ac:dyDescent="0.35">
      <c r="A92" s="15"/>
      <c r="B92" s="15"/>
      <c r="C92" s="15"/>
      <c r="D92" s="15"/>
      <c r="E92" s="15"/>
      <c r="F92" s="15"/>
      <c r="G92" s="15"/>
      <c r="H92" s="15"/>
      <c r="I92" s="15"/>
      <c r="J92" s="15"/>
      <c r="K92" s="15"/>
      <c r="L92" s="15"/>
      <c r="M92" s="15"/>
      <c r="N92" s="15"/>
      <c r="O92" s="15"/>
      <c r="P92" s="15"/>
      <c r="Q92" s="15"/>
      <c r="R92" s="15"/>
      <c r="S92" s="15"/>
      <c r="T92" s="15"/>
    </row>
    <row r="93" spans="1:20" ht="19.5" customHeight="1" x14ac:dyDescent="0.35">
      <c r="A93" s="15"/>
      <c r="B93" s="15"/>
      <c r="C93" s="15"/>
      <c r="D93" s="15"/>
      <c r="E93" s="15"/>
      <c r="F93" s="15"/>
      <c r="G93" s="15"/>
      <c r="H93" s="15"/>
      <c r="I93" s="15"/>
      <c r="J93" s="15"/>
      <c r="K93" s="15"/>
      <c r="L93" s="15"/>
      <c r="M93" s="15"/>
      <c r="N93" s="15"/>
      <c r="O93" s="15"/>
      <c r="P93" s="15"/>
      <c r="Q93" s="15"/>
      <c r="R93" s="15"/>
      <c r="S93" s="15"/>
      <c r="T93" s="15"/>
    </row>
    <row r="94" spans="1:20" ht="19.5" customHeight="1" x14ac:dyDescent="0.35">
      <c r="A94" s="15"/>
      <c r="B94" s="15"/>
      <c r="C94" s="15"/>
      <c r="D94" s="15"/>
      <c r="E94" s="15"/>
      <c r="F94" s="15"/>
      <c r="G94" s="15"/>
      <c r="H94" s="15"/>
      <c r="I94" s="15"/>
      <c r="J94" s="15"/>
      <c r="K94" s="15"/>
      <c r="L94" s="15"/>
      <c r="M94" s="15"/>
      <c r="N94" s="15"/>
      <c r="O94" s="15"/>
      <c r="P94" s="15"/>
      <c r="Q94" s="15"/>
      <c r="R94" s="15"/>
      <c r="S94" s="15"/>
      <c r="T94" s="15"/>
    </row>
    <row r="95" spans="1:20" ht="19.5" customHeight="1" x14ac:dyDescent="0.35">
      <c r="A95" s="15"/>
      <c r="B95" s="15"/>
      <c r="C95" s="15"/>
      <c r="D95" s="15"/>
      <c r="E95" s="15"/>
      <c r="F95" s="15"/>
      <c r="G95" s="15"/>
      <c r="H95" s="15"/>
      <c r="I95" s="15"/>
      <c r="J95" s="15"/>
      <c r="K95" s="15"/>
      <c r="L95" s="15"/>
      <c r="M95" s="15"/>
      <c r="N95" s="15"/>
      <c r="O95" s="15"/>
      <c r="P95" s="15"/>
      <c r="Q95" s="15"/>
      <c r="R95" s="15"/>
      <c r="S95" s="15"/>
      <c r="T95" s="15"/>
    </row>
    <row r="96" spans="1:20" ht="19.5" customHeight="1" x14ac:dyDescent="0.35">
      <c r="A96" s="15"/>
      <c r="B96" s="15"/>
      <c r="C96" s="15"/>
      <c r="D96" s="15"/>
      <c r="E96" s="15"/>
      <c r="F96" s="15"/>
      <c r="G96" s="15"/>
      <c r="H96" s="15"/>
      <c r="I96" s="15"/>
      <c r="J96" s="15"/>
      <c r="K96" s="15"/>
      <c r="L96" s="15"/>
      <c r="M96" s="15"/>
      <c r="N96" s="15"/>
      <c r="O96" s="15"/>
      <c r="P96" s="15"/>
      <c r="Q96" s="15"/>
      <c r="R96" s="15"/>
      <c r="S96" s="15"/>
      <c r="T96" s="15"/>
    </row>
    <row r="97" spans="1:20" ht="19.5" customHeight="1" x14ac:dyDescent="0.35">
      <c r="A97" s="15"/>
      <c r="B97" s="15"/>
      <c r="C97" s="15"/>
      <c r="D97" s="15"/>
      <c r="E97" s="15"/>
      <c r="F97" s="15"/>
      <c r="G97" s="15"/>
      <c r="H97" s="15"/>
      <c r="I97" s="15"/>
      <c r="J97" s="15"/>
      <c r="K97" s="15"/>
      <c r="L97" s="15"/>
      <c r="M97" s="15"/>
      <c r="N97" s="15"/>
      <c r="O97" s="15"/>
      <c r="P97" s="15"/>
      <c r="Q97" s="15"/>
      <c r="R97" s="15"/>
      <c r="S97" s="15"/>
      <c r="T97" s="15"/>
    </row>
    <row r="98" spans="1:20" ht="19.5" customHeight="1" x14ac:dyDescent="0.35">
      <c r="A98" s="15"/>
      <c r="B98" s="15"/>
      <c r="C98" s="15"/>
      <c r="D98" s="15"/>
      <c r="E98" s="15"/>
      <c r="F98" s="15"/>
      <c r="G98" s="15"/>
      <c r="H98" s="15"/>
      <c r="I98" s="15"/>
      <c r="J98" s="15"/>
      <c r="K98" s="15"/>
      <c r="L98" s="15"/>
      <c r="M98" s="15"/>
      <c r="N98" s="15"/>
      <c r="O98" s="15"/>
      <c r="P98" s="15"/>
      <c r="Q98" s="15"/>
      <c r="R98" s="15"/>
      <c r="S98" s="15"/>
      <c r="T98" s="15"/>
    </row>
    <row r="99" spans="1:20" ht="19.5" customHeight="1" x14ac:dyDescent="0.35">
      <c r="A99" s="15"/>
      <c r="B99" s="15"/>
      <c r="C99" s="15"/>
      <c r="D99" s="15"/>
      <c r="E99" s="15"/>
      <c r="F99" s="15"/>
      <c r="G99" s="15"/>
      <c r="H99" s="15"/>
      <c r="I99" s="15"/>
      <c r="J99" s="15"/>
      <c r="K99" s="15"/>
      <c r="L99" s="15"/>
      <c r="M99" s="15"/>
      <c r="N99" s="15"/>
      <c r="O99" s="15"/>
      <c r="P99" s="15"/>
      <c r="Q99" s="15"/>
      <c r="R99" s="15"/>
      <c r="S99" s="15"/>
      <c r="T99" s="15"/>
    </row>
    <row r="100" spans="1:20" ht="19.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9.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9.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9.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9.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9.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9.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9.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9.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9.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9.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9.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9.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9.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9.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9.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9.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9.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9.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9.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9.5" customHeight="1" x14ac:dyDescent="0.35">
      <c r="A120" s="15"/>
      <c r="B120" s="15"/>
      <c r="C120" s="15"/>
      <c r="D120" s="15"/>
      <c r="E120" s="15"/>
      <c r="F120" s="15"/>
      <c r="G120" s="15"/>
      <c r="H120" s="15"/>
      <c r="I120" s="15"/>
      <c r="J120" s="15"/>
      <c r="K120" s="15"/>
      <c r="L120" s="15"/>
      <c r="M120" s="15"/>
      <c r="N120" s="15"/>
      <c r="O120" s="15"/>
      <c r="P120" s="15"/>
      <c r="Q120" s="15"/>
      <c r="R120" s="15"/>
      <c r="S120" s="15"/>
      <c r="T120" s="15"/>
    </row>
    <row r="121" spans="1:20" ht="19.5" customHeight="1" x14ac:dyDescent="0.35"/>
    <row r="122" spans="1:20" ht="19.5" customHeight="1" x14ac:dyDescent="0.35"/>
    <row r="123" spans="1:20" ht="19.5" customHeight="1" x14ac:dyDescent="0.35"/>
    <row r="124" spans="1:20" ht="19.5" customHeight="1" x14ac:dyDescent="0.35"/>
    <row r="125" spans="1:20" ht="19.5" customHeight="1" x14ac:dyDescent="0.35"/>
    <row r="126" spans="1:20" ht="19.5" customHeight="1" x14ac:dyDescent="0.35"/>
    <row r="127" spans="1:20" ht="19.5" customHeight="1" x14ac:dyDescent="0.35"/>
    <row r="128" spans="1:20" ht="19.5" customHeight="1" x14ac:dyDescent="0.35"/>
    <row r="129" ht="19.5" customHeight="1" x14ac:dyDescent="0.35"/>
    <row r="130" ht="19.5" customHeight="1" x14ac:dyDescent="0.35"/>
    <row r="131" ht="19.5" customHeight="1" x14ac:dyDescent="0.35"/>
    <row r="132" ht="19.5" customHeight="1" x14ac:dyDescent="0.35"/>
    <row r="133" ht="19.5" customHeight="1" x14ac:dyDescent="0.35"/>
    <row r="134" ht="19.5" customHeight="1" x14ac:dyDescent="0.35"/>
    <row r="135" ht="19.5" customHeight="1" x14ac:dyDescent="0.35"/>
    <row r="136" ht="19.5" customHeight="1" x14ac:dyDescent="0.35"/>
    <row r="137" ht="19.5" customHeight="1" x14ac:dyDescent="0.35"/>
    <row r="138" ht="19.5" customHeight="1" x14ac:dyDescent="0.35"/>
    <row r="139" ht="19.5" customHeight="1" x14ac:dyDescent="0.35"/>
    <row r="140" ht="19.5" customHeight="1" x14ac:dyDescent="0.35"/>
    <row r="141" ht="19.5" customHeight="1" x14ac:dyDescent="0.35"/>
    <row r="142" ht="19.5" customHeight="1" x14ac:dyDescent="0.35"/>
    <row r="143" ht="19.5" customHeight="1" x14ac:dyDescent="0.35"/>
    <row r="144" ht="19.5" customHeight="1" x14ac:dyDescent="0.35"/>
    <row r="145" ht="19.5" customHeight="1" x14ac:dyDescent="0.35"/>
    <row r="146" ht="19.5" customHeight="1" x14ac:dyDescent="0.35"/>
    <row r="147" ht="19.5" customHeight="1" x14ac:dyDescent="0.35"/>
    <row r="148" ht="19.5" customHeight="1" x14ac:dyDescent="0.35"/>
    <row r="149" ht="19.5" customHeight="1" x14ac:dyDescent="0.35"/>
    <row r="150" ht="19.5" customHeight="1" x14ac:dyDescent="0.35"/>
    <row r="151" ht="19.5" customHeight="1" x14ac:dyDescent="0.35"/>
    <row r="152" ht="19.5" customHeight="1" x14ac:dyDescent="0.35"/>
    <row r="153" ht="19.5" customHeight="1" x14ac:dyDescent="0.35"/>
    <row r="154" ht="19.5" customHeight="1" x14ac:dyDescent="0.35"/>
    <row r="155" ht="19.5" customHeight="1" x14ac:dyDescent="0.35"/>
    <row r="156" ht="19.5" customHeight="1" x14ac:dyDescent="0.35"/>
    <row r="157" ht="19.5" customHeight="1" x14ac:dyDescent="0.35"/>
    <row r="158" ht="19.5" customHeight="1" x14ac:dyDescent="0.35"/>
    <row r="159" ht="19.5" customHeight="1" x14ac:dyDescent="0.35"/>
    <row r="160" ht="19.5" customHeight="1" x14ac:dyDescent="0.35"/>
    <row r="161" ht="19.5" customHeight="1" x14ac:dyDescent="0.35"/>
    <row r="162" ht="19.5" customHeight="1" x14ac:dyDescent="0.35"/>
    <row r="163" ht="19.5" customHeight="1" x14ac:dyDescent="0.35"/>
    <row r="164" ht="19.5" customHeight="1" x14ac:dyDescent="0.35"/>
    <row r="165" ht="19.5" customHeight="1" x14ac:dyDescent="0.35"/>
    <row r="166" ht="19.5" customHeight="1" x14ac:dyDescent="0.35"/>
    <row r="167" ht="19.5" customHeight="1" x14ac:dyDescent="0.35"/>
    <row r="168" ht="19.5" customHeight="1" x14ac:dyDescent="0.35"/>
    <row r="169" ht="19.5" customHeight="1" x14ac:dyDescent="0.35"/>
    <row r="170" ht="19.5" customHeight="1" x14ac:dyDescent="0.35"/>
    <row r="171" ht="19.5" customHeight="1" x14ac:dyDescent="0.35"/>
    <row r="172" ht="19.5" customHeight="1" x14ac:dyDescent="0.35"/>
    <row r="173" ht="19.5" customHeight="1" x14ac:dyDescent="0.35"/>
    <row r="174" ht="19.5" customHeight="1" x14ac:dyDescent="0.35"/>
    <row r="175" ht="19.5" customHeight="1" x14ac:dyDescent="0.35"/>
    <row r="176" ht="19.5" customHeight="1" x14ac:dyDescent="0.35"/>
    <row r="177" ht="19.5" customHeight="1" x14ac:dyDescent="0.35"/>
    <row r="178" ht="19.5" customHeight="1" x14ac:dyDescent="0.35"/>
    <row r="179" ht="19.5" customHeight="1" x14ac:dyDescent="0.35"/>
    <row r="180" ht="19.5" customHeight="1" x14ac:dyDescent="0.35"/>
    <row r="181" ht="19.5" customHeight="1" x14ac:dyDescent="0.35"/>
    <row r="182" ht="19.5" customHeight="1" x14ac:dyDescent="0.35"/>
    <row r="183" ht="19.5" customHeight="1" x14ac:dyDescent="0.35"/>
    <row r="184" ht="19.5" customHeight="1" x14ac:dyDescent="0.35"/>
    <row r="185" ht="19.5" customHeight="1" x14ac:dyDescent="0.35"/>
    <row r="186" ht="19.5" customHeight="1" x14ac:dyDescent="0.35"/>
    <row r="187" ht="19.5" customHeight="1" x14ac:dyDescent="0.35"/>
    <row r="188" ht="19.5" customHeight="1" x14ac:dyDescent="0.35"/>
    <row r="189" ht="19.5" customHeight="1" x14ac:dyDescent="0.35"/>
    <row r="190" ht="19.5" customHeight="1" x14ac:dyDescent="0.35"/>
    <row r="191" ht="19.5" customHeight="1" x14ac:dyDescent="0.35"/>
    <row r="192" ht="19.5" customHeight="1" x14ac:dyDescent="0.35"/>
    <row r="193" ht="19.5" customHeight="1" x14ac:dyDescent="0.35"/>
    <row r="194" ht="19.5" customHeight="1" x14ac:dyDescent="0.35"/>
    <row r="195" ht="19.5" customHeight="1" x14ac:dyDescent="0.35"/>
    <row r="196" ht="19.5" customHeight="1" x14ac:dyDescent="0.35"/>
    <row r="197" ht="19.5" customHeight="1" x14ac:dyDescent="0.35"/>
    <row r="198" ht="19.5" customHeight="1" x14ac:dyDescent="0.35"/>
    <row r="199" ht="19.5" customHeight="1" x14ac:dyDescent="0.35"/>
  </sheetData>
  <mergeCells count="17">
    <mergeCell ref="B53:N53"/>
    <mergeCell ref="B55:I55"/>
    <mergeCell ref="B33:N33"/>
    <mergeCell ref="B34:N34"/>
    <mergeCell ref="B42:N42"/>
    <mergeCell ref="B44:N44"/>
    <mergeCell ref="B45:N45"/>
    <mergeCell ref="B16:N16"/>
    <mergeCell ref="B18:N18"/>
    <mergeCell ref="B19:N19"/>
    <mergeCell ref="B29:N29"/>
    <mergeCell ref="B31:I31"/>
    <mergeCell ref="B2:N2"/>
    <mergeCell ref="B3:N3"/>
    <mergeCell ref="B5:I5"/>
    <mergeCell ref="B7:N7"/>
    <mergeCell ref="B8:N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2C55E"/>
  </sheetPr>
  <dimension ref="A1:T120"/>
  <sheetViews>
    <sheetView showGridLines="0" topLeftCell="A35" zoomScaleNormal="100" workbookViewId="0"/>
  </sheetViews>
  <sheetFormatPr baseColWidth="10" defaultColWidth="8.6328125" defaultRowHeight="14.5" x14ac:dyDescent="0.35"/>
  <cols>
    <col min="1" max="1" width="2" customWidth="1"/>
    <col min="2" max="2" width="22" customWidth="1"/>
    <col min="3" max="3" width="30" customWidth="1"/>
    <col min="4" max="6" width="16" customWidth="1"/>
    <col min="7" max="7"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43.5" customHeight="1" x14ac:dyDescent="0.35">
      <c r="A2" s="15"/>
      <c r="B2" s="124" t="s">
        <v>265</v>
      </c>
      <c r="C2" s="124"/>
      <c r="D2" s="124"/>
      <c r="E2" s="124"/>
      <c r="F2" s="124"/>
      <c r="G2" s="124"/>
      <c r="H2" s="124"/>
      <c r="I2" s="124"/>
      <c r="J2" s="124"/>
      <c r="K2" s="124"/>
      <c r="L2" s="124"/>
      <c r="M2" s="124"/>
      <c r="N2" s="124"/>
      <c r="O2" s="15"/>
      <c r="P2" s="15"/>
      <c r="Q2" s="15"/>
      <c r="R2" s="15"/>
      <c r="S2" s="15"/>
      <c r="T2" s="15"/>
    </row>
    <row r="3" spans="1:20" ht="19.5" customHeight="1" x14ac:dyDescent="0.35">
      <c r="A3" s="15"/>
      <c r="B3" s="125" t="s">
        <v>266</v>
      </c>
      <c r="C3" s="125"/>
      <c r="D3" s="125"/>
      <c r="E3" s="125"/>
      <c r="F3" s="125"/>
      <c r="G3" s="125"/>
      <c r="H3" s="125"/>
      <c r="I3" s="125"/>
      <c r="J3" s="125"/>
      <c r="K3" s="125"/>
      <c r="L3" s="125"/>
      <c r="M3" s="125"/>
      <c r="N3" s="125"/>
      <c r="O3" s="15"/>
      <c r="P3" s="15"/>
      <c r="Q3" s="15"/>
      <c r="R3" s="15"/>
      <c r="S3" s="15"/>
      <c r="T3" s="15"/>
    </row>
    <row r="4" spans="1:20" ht="19.5" customHeight="1" x14ac:dyDescent="0.35">
      <c r="A4" s="15"/>
      <c r="B4" s="15"/>
      <c r="C4" s="15"/>
      <c r="D4" s="15"/>
      <c r="E4" s="15"/>
      <c r="F4" s="15"/>
      <c r="G4" s="15"/>
      <c r="H4" s="15"/>
      <c r="I4" s="15"/>
      <c r="J4" s="15"/>
      <c r="K4" s="15"/>
      <c r="L4" s="15"/>
      <c r="M4" s="15"/>
      <c r="N4" s="15"/>
      <c r="O4" s="15"/>
      <c r="P4" s="15"/>
      <c r="Q4" s="15"/>
      <c r="R4" s="15"/>
      <c r="S4" s="15"/>
      <c r="T4" s="15"/>
    </row>
    <row r="5" spans="1:20" ht="27.75" customHeight="1" x14ac:dyDescent="0.35">
      <c r="A5" s="15"/>
      <c r="B5" s="140" t="s">
        <v>267</v>
      </c>
      <c r="C5" s="140"/>
      <c r="D5" s="140"/>
      <c r="E5" s="140"/>
      <c r="F5" s="140"/>
      <c r="G5" s="15"/>
      <c r="H5" s="15"/>
      <c r="I5" s="15"/>
      <c r="J5" s="15"/>
      <c r="K5" s="15"/>
      <c r="L5" s="15"/>
      <c r="M5" s="15"/>
      <c r="N5" s="15"/>
      <c r="O5" s="15"/>
      <c r="P5" s="15"/>
      <c r="Q5" s="15"/>
      <c r="R5" s="15"/>
      <c r="S5" s="15"/>
      <c r="T5" s="15"/>
    </row>
    <row r="6" spans="1:20" ht="30" customHeight="1" x14ac:dyDescent="0.35">
      <c r="A6" s="15"/>
      <c r="B6" s="43" t="s">
        <v>268</v>
      </c>
      <c r="C6" s="44" t="s">
        <v>269</v>
      </c>
      <c r="D6" s="141" t="s">
        <v>270</v>
      </c>
      <c r="E6" s="141"/>
      <c r="F6" s="141"/>
      <c r="G6" s="141"/>
      <c r="H6" s="15"/>
      <c r="I6" s="15"/>
      <c r="J6" s="15"/>
      <c r="K6" s="15"/>
      <c r="L6" s="15"/>
      <c r="M6" s="15"/>
      <c r="N6" s="15"/>
      <c r="O6" s="15"/>
      <c r="P6" s="15"/>
      <c r="Q6" s="15"/>
      <c r="R6" s="15"/>
      <c r="S6" s="15"/>
      <c r="T6" s="15"/>
    </row>
    <row r="7" spans="1:20" ht="30" customHeight="1" x14ac:dyDescent="0.35">
      <c r="A7" s="15"/>
      <c r="B7" s="45" t="s">
        <v>271</v>
      </c>
      <c r="C7" s="46" t="s">
        <v>272</v>
      </c>
      <c r="D7" s="142" t="s">
        <v>273</v>
      </c>
      <c r="E7" s="142"/>
      <c r="F7" s="142"/>
      <c r="G7" s="142"/>
      <c r="H7" s="15"/>
      <c r="I7" s="15"/>
      <c r="J7" s="15"/>
      <c r="K7" s="15"/>
      <c r="L7" s="15"/>
      <c r="M7" s="15"/>
      <c r="N7" s="15"/>
      <c r="O7" s="15"/>
      <c r="P7" s="15"/>
      <c r="Q7" s="15"/>
      <c r="R7" s="15"/>
      <c r="S7" s="15"/>
      <c r="T7" s="15"/>
    </row>
    <row r="8" spans="1:20" ht="30" customHeight="1" x14ac:dyDescent="0.35">
      <c r="A8" s="15"/>
      <c r="B8" s="47" t="s">
        <v>274</v>
      </c>
      <c r="C8" s="48" t="s">
        <v>275</v>
      </c>
      <c r="D8" s="141" t="s">
        <v>276</v>
      </c>
      <c r="E8" s="141"/>
      <c r="F8" s="141"/>
      <c r="G8" s="141"/>
      <c r="H8" s="15"/>
      <c r="I8" s="15"/>
      <c r="J8" s="15"/>
      <c r="K8" s="15"/>
      <c r="L8" s="15"/>
      <c r="M8" s="15"/>
      <c r="N8" s="15"/>
      <c r="O8" s="15"/>
      <c r="P8" s="15"/>
      <c r="Q8" s="15"/>
      <c r="R8" s="15"/>
      <c r="S8" s="15"/>
      <c r="T8" s="15"/>
    </row>
    <row r="9" spans="1:20" ht="30" customHeight="1" x14ac:dyDescent="0.35">
      <c r="A9" s="15"/>
      <c r="B9" s="49" t="s">
        <v>277</v>
      </c>
      <c r="C9" s="50" t="s">
        <v>278</v>
      </c>
      <c r="D9" s="142" t="s">
        <v>279</v>
      </c>
      <c r="E9" s="142"/>
      <c r="F9" s="142"/>
      <c r="G9" s="142"/>
      <c r="H9" s="15"/>
      <c r="I9" s="15"/>
      <c r="J9" s="15"/>
      <c r="K9" s="15"/>
      <c r="L9" s="15"/>
      <c r="M9" s="15"/>
      <c r="N9" s="15"/>
      <c r="O9" s="15"/>
      <c r="P9" s="15"/>
      <c r="Q9" s="15"/>
      <c r="R9" s="15"/>
      <c r="S9" s="15"/>
      <c r="T9" s="15"/>
    </row>
    <row r="10" spans="1:20" ht="30" customHeight="1" x14ac:dyDescent="0.35">
      <c r="A10" s="15"/>
      <c r="B10" s="51" t="s">
        <v>280</v>
      </c>
      <c r="C10" s="52" t="s">
        <v>281</v>
      </c>
      <c r="D10" s="141" t="s">
        <v>282</v>
      </c>
      <c r="E10" s="141"/>
      <c r="F10" s="141"/>
      <c r="G10" s="141"/>
      <c r="H10" s="15"/>
      <c r="I10" s="15"/>
      <c r="J10" s="15"/>
      <c r="K10" s="15"/>
      <c r="L10" s="15"/>
      <c r="M10" s="15"/>
      <c r="N10" s="15"/>
      <c r="O10" s="15"/>
      <c r="P10" s="15"/>
      <c r="Q10" s="15"/>
      <c r="R10" s="15"/>
      <c r="S10" s="15"/>
      <c r="T10" s="15"/>
    </row>
    <row r="11" spans="1:20" ht="19.5" customHeight="1" x14ac:dyDescent="0.35">
      <c r="A11" s="15"/>
      <c r="B11" s="15"/>
      <c r="C11" s="15"/>
      <c r="D11" s="15"/>
      <c r="E11" s="15"/>
      <c r="F11" s="15"/>
      <c r="G11" s="15"/>
      <c r="H11" s="15"/>
      <c r="I11" s="15"/>
      <c r="J11" s="15"/>
      <c r="K11" s="15"/>
      <c r="L11" s="15"/>
      <c r="M11" s="15"/>
      <c r="N11" s="15"/>
      <c r="O11" s="15"/>
      <c r="P11" s="15"/>
      <c r="Q11" s="15"/>
      <c r="R11" s="15"/>
      <c r="S11" s="15"/>
      <c r="T11" s="15"/>
    </row>
    <row r="12" spans="1:20" ht="27.75" customHeight="1" x14ac:dyDescent="0.35">
      <c r="A12" s="15"/>
      <c r="B12" s="11" t="s">
        <v>283</v>
      </c>
      <c r="C12" s="11"/>
      <c r="D12" s="11"/>
      <c r="E12" s="11"/>
      <c r="F12" s="11"/>
      <c r="G12" s="15"/>
      <c r="H12" s="15"/>
      <c r="I12" s="15"/>
      <c r="J12" s="15"/>
      <c r="K12" s="15"/>
      <c r="L12" s="15"/>
      <c r="M12" s="15"/>
      <c r="N12" s="15"/>
      <c r="O12" s="15"/>
      <c r="P12" s="15"/>
      <c r="Q12" s="15"/>
      <c r="R12" s="15"/>
      <c r="S12" s="15"/>
      <c r="T12" s="15"/>
    </row>
    <row r="13" spans="1:20" ht="21.75" customHeight="1" x14ac:dyDescent="0.35">
      <c r="A13" s="15"/>
      <c r="B13" s="53" t="s">
        <v>284</v>
      </c>
      <c r="C13" s="53" t="s">
        <v>285</v>
      </c>
      <c r="D13" s="53" t="s">
        <v>286</v>
      </c>
      <c r="E13" s="53" t="s">
        <v>287</v>
      </c>
      <c r="F13" s="53" t="s">
        <v>288</v>
      </c>
      <c r="G13" s="53" t="s">
        <v>289</v>
      </c>
      <c r="H13" s="15"/>
      <c r="I13" s="15"/>
      <c r="J13" s="15"/>
      <c r="K13" s="15"/>
      <c r="L13" s="15"/>
      <c r="M13" s="15"/>
      <c r="N13" s="15"/>
      <c r="O13" s="15"/>
      <c r="P13" s="15"/>
      <c r="Q13" s="15"/>
      <c r="R13" s="15"/>
      <c r="S13" s="15"/>
      <c r="T13" s="15"/>
    </row>
    <row r="14" spans="1:20" ht="21.75" customHeight="1" x14ac:dyDescent="0.35">
      <c r="A14" s="15"/>
      <c r="B14" s="27" t="s">
        <v>260</v>
      </c>
      <c r="C14" s="54">
        <v>8</v>
      </c>
      <c r="D14" s="55">
        <v>14</v>
      </c>
      <c r="E14" s="56">
        <v>20</v>
      </c>
      <c r="F14" s="57">
        <f>ROUND(IF('📋 DATOS'!C13="Menos de 6 meses",8,IF('📋 DATOS'!C13="6–24 meses",ROUND((8+14)/2,0),IF('📋 DATOS'!C13="2–4 años",14,ROUND((14+20)/2,0))))*'📋 DATOS'!E24,0)</f>
        <v>0</v>
      </c>
      <c r="G14" s="58" t="str">
        <f>IF(F14&lt;=8,"⚠ MEV",IF(F14&lt;=14,"✓ Óptimo","⚡ Techo"))</f>
        <v>⚠ MEV</v>
      </c>
      <c r="H14" s="15"/>
      <c r="I14" s="15"/>
      <c r="J14" s="15"/>
      <c r="K14" s="15"/>
      <c r="L14" s="15"/>
      <c r="M14" s="15"/>
      <c r="N14" s="15"/>
      <c r="O14" s="15"/>
      <c r="P14" s="15"/>
      <c r="Q14" s="15"/>
      <c r="R14" s="15"/>
      <c r="S14" s="15"/>
      <c r="T14" s="15"/>
    </row>
    <row r="15" spans="1:20" ht="21.75" customHeight="1" x14ac:dyDescent="0.35">
      <c r="A15" s="15"/>
      <c r="B15" s="35" t="s">
        <v>290</v>
      </c>
      <c r="C15" s="59">
        <v>10</v>
      </c>
      <c r="D15" s="60">
        <v>16</v>
      </c>
      <c r="E15" s="61">
        <v>25</v>
      </c>
      <c r="F15" s="62">
        <f>ROUND(IF('📋 DATOS'!C13="Menos de 6 meses",10,IF('📋 DATOS'!C13="6–24 meses",ROUND((10+16)/2,0),IF('📋 DATOS'!C13="2–4 años",16,ROUND((16+25)/2,0))))*'📋 DATOS'!E24,0)</f>
        <v>0</v>
      </c>
      <c r="G15" s="63" t="str">
        <f>IF(F15&lt;=10,"⚠ MEV",IF(F15&lt;=16,"✓ Óptimo","⚡ Techo"))</f>
        <v>⚠ MEV</v>
      </c>
      <c r="H15" s="15"/>
      <c r="I15" s="15"/>
      <c r="J15" s="15"/>
      <c r="K15" s="15"/>
      <c r="L15" s="15"/>
      <c r="M15" s="15"/>
      <c r="N15" s="15"/>
      <c r="O15" s="15"/>
      <c r="P15" s="15"/>
      <c r="Q15" s="15"/>
      <c r="R15" s="15"/>
      <c r="S15" s="15"/>
      <c r="T15" s="15"/>
    </row>
    <row r="16" spans="1:20" ht="21.75" customHeight="1" x14ac:dyDescent="0.35">
      <c r="A16" s="15"/>
      <c r="B16" s="27" t="s">
        <v>291</v>
      </c>
      <c r="C16" s="54">
        <v>8</v>
      </c>
      <c r="D16" s="55">
        <v>14</v>
      </c>
      <c r="E16" s="56">
        <v>20</v>
      </c>
      <c r="F16" s="57">
        <f>ROUND(IF('📋 DATOS'!C13="Menos de 6 meses",8,IF('📋 DATOS'!C13="6–24 meses",ROUND((8+14)/2,0),IF('📋 DATOS'!C13="2–4 años",14,ROUND((14+20)/2,0))))*'📋 DATOS'!E24,0)</f>
        <v>0</v>
      </c>
      <c r="G16" s="58" t="str">
        <f>IF(F16&lt;=8,"⚠ MEV",IF(F16&lt;=14,"✓ Óptimo","⚡ Techo"))</f>
        <v>⚠ MEV</v>
      </c>
      <c r="H16" s="15"/>
      <c r="I16" s="15"/>
      <c r="J16" s="15"/>
      <c r="K16" s="15"/>
      <c r="L16" s="15"/>
      <c r="M16" s="15"/>
      <c r="N16" s="15"/>
      <c r="O16" s="15"/>
      <c r="P16" s="15"/>
      <c r="Q16" s="15"/>
      <c r="R16" s="15"/>
      <c r="S16" s="15"/>
      <c r="T16" s="15"/>
    </row>
    <row r="17" spans="1:20" ht="21.75" customHeight="1" x14ac:dyDescent="0.35">
      <c r="A17" s="15"/>
      <c r="B17" s="35" t="s">
        <v>177</v>
      </c>
      <c r="C17" s="59">
        <v>8</v>
      </c>
      <c r="D17" s="60">
        <v>12</v>
      </c>
      <c r="E17" s="61">
        <v>20</v>
      </c>
      <c r="F17" s="62">
        <f>ROUND(IF('📋 DATOS'!C13="Menos de 6 meses",8,IF('📋 DATOS'!C13="6–24 meses",ROUND((8+12)/2,0),IF('📋 DATOS'!C13="2–4 años",12,ROUND((12+20)/2,0))))*'📋 DATOS'!E24,0)</f>
        <v>0</v>
      </c>
      <c r="G17" s="63" t="str">
        <f>IF(F17&lt;=8,"⚠ MEV",IF(F17&lt;=12,"✓ Óptimo","⚡ Techo"))</f>
        <v>⚠ MEV</v>
      </c>
      <c r="H17" s="15"/>
      <c r="I17" s="15"/>
      <c r="J17" s="15"/>
      <c r="K17" s="15"/>
      <c r="L17" s="15"/>
      <c r="M17" s="15"/>
      <c r="N17" s="15"/>
      <c r="O17" s="15"/>
      <c r="P17" s="15"/>
      <c r="Q17" s="15"/>
      <c r="R17" s="15"/>
      <c r="S17" s="15"/>
      <c r="T17" s="15"/>
    </row>
    <row r="18" spans="1:20" ht="21.75" customHeight="1" x14ac:dyDescent="0.35">
      <c r="A18" s="15"/>
      <c r="B18" s="27" t="s">
        <v>94</v>
      </c>
      <c r="C18" s="54">
        <v>6</v>
      </c>
      <c r="D18" s="55">
        <v>10</v>
      </c>
      <c r="E18" s="56">
        <v>18</v>
      </c>
      <c r="F18" s="57">
        <f>ROUND(IF('📋 DATOS'!C13="Menos de 6 meses",6,IF('📋 DATOS'!C13="6–24 meses",ROUND((6+10)/2,0),IF('📋 DATOS'!C13="2–4 años",10,ROUND((10+18)/2,0))))*'📋 DATOS'!E24,0)</f>
        <v>0</v>
      </c>
      <c r="G18" s="58" t="str">
        <f>IF(F18&lt;=6,"⚠ MEV",IF(F18&lt;=10,"✓ Óptimo","⚡ Techo"))</f>
        <v>⚠ MEV</v>
      </c>
      <c r="H18" s="15"/>
      <c r="I18" s="15"/>
      <c r="J18" s="15"/>
      <c r="K18" s="15"/>
      <c r="L18" s="15"/>
      <c r="M18" s="15"/>
      <c r="N18" s="15"/>
      <c r="O18" s="15"/>
      <c r="P18" s="15"/>
      <c r="Q18" s="15"/>
      <c r="R18" s="15"/>
      <c r="S18" s="15"/>
      <c r="T18" s="15"/>
    </row>
    <row r="19" spans="1:20" ht="21.75" customHeight="1" x14ac:dyDescent="0.35">
      <c r="A19" s="15"/>
      <c r="B19" s="35" t="s">
        <v>126</v>
      </c>
      <c r="C19" s="59">
        <v>8</v>
      </c>
      <c r="D19" s="60">
        <v>14</v>
      </c>
      <c r="E19" s="61">
        <v>20</v>
      </c>
      <c r="F19" s="62">
        <f>ROUND(IF('📋 DATOS'!C13="Menos de 6 meses",8,IF('📋 DATOS'!C13="6–24 meses",ROUND((8+14)/2,0),IF('📋 DATOS'!C13="2–4 años",14,ROUND((14+20)/2,0))))*'📋 DATOS'!E24,0)</f>
        <v>0</v>
      </c>
      <c r="G19" s="63" t="str">
        <f>IF(F19&lt;=8,"⚠ MEV",IF(F19&lt;=14,"✓ Óptimo","⚡ Techo"))</f>
        <v>⚠ MEV</v>
      </c>
      <c r="H19" s="15"/>
      <c r="I19" s="15"/>
      <c r="J19" s="15"/>
      <c r="K19" s="15"/>
      <c r="L19" s="15"/>
      <c r="M19" s="15"/>
      <c r="N19" s="15"/>
      <c r="O19" s="15"/>
      <c r="P19" s="15"/>
      <c r="Q19" s="15"/>
      <c r="R19" s="15"/>
      <c r="S19" s="15"/>
      <c r="T19" s="15"/>
    </row>
    <row r="20" spans="1:20" ht="21.75" customHeight="1" x14ac:dyDescent="0.35">
      <c r="A20" s="15"/>
      <c r="B20" s="27" t="s">
        <v>292</v>
      </c>
      <c r="C20" s="54">
        <v>10</v>
      </c>
      <c r="D20" s="55">
        <v>16</v>
      </c>
      <c r="E20" s="56">
        <v>22</v>
      </c>
      <c r="F20" s="57">
        <f>ROUND(IF('📋 DATOS'!C13="Menos de 6 meses",10,IF('📋 DATOS'!C13="6–24 meses",ROUND((10+16)/2,0),IF('📋 DATOS'!C13="2–4 años",16,ROUND((16+22)/2,0))))*'📋 DATOS'!E24,0)</f>
        <v>0</v>
      </c>
      <c r="G20" s="58" t="str">
        <f>IF(F20&lt;=10,"⚠ MEV",IF(F20&lt;=16,"✓ Óptimo","⚡ Techo"))</f>
        <v>⚠ MEV</v>
      </c>
      <c r="H20" s="15"/>
      <c r="I20" s="15"/>
      <c r="J20" s="15"/>
      <c r="K20" s="15"/>
      <c r="L20" s="15"/>
      <c r="M20" s="15"/>
      <c r="N20" s="15"/>
      <c r="O20" s="15"/>
      <c r="P20" s="15"/>
      <c r="Q20" s="15"/>
      <c r="R20" s="15"/>
      <c r="S20" s="15"/>
      <c r="T20" s="15"/>
    </row>
    <row r="21" spans="1:20" ht="21.75" customHeight="1" x14ac:dyDescent="0.35">
      <c r="A21" s="15"/>
      <c r="B21" s="35" t="s">
        <v>293</v>
      </c>
      <c r="C21" s="59">
        <v>6</v>
      </c>
      <c r="D21" s="60">
        <v>10</v>
      </c>
      <c r="E21" s="61">
        <v>16</v>
      </c>
      <c r="F21" s="62">
        <f>ROUND(IF('📋 DATOS'!C13="Menos de 6 meses",6,IF('📋 DATOS'!C13="6–24 meses",ROUND((6+10)/2,0),IF('📋 DATOS'!C13="2–4 años",10,ROUND((10+16)/2,0))))*'📋 DATOS'!E24,0)</f>
        <v>0</v>
      </c>
      <c r="G21" s="63" t="str">
        <f>IF(F21&lt;=6,"⚠ MEV",IF(F21&lt;=10,"✓ Óptimo","⚡ Techo"))</f>
        <v>⚠ MEV</v>
      </c>
      <c r="H21" s="15"/>
      <c r="I21" s="15"/>
      <c r="J21" s="15"/>
      <c r="K21" s="15"/>
      <c r="L21" s="15"/>
      <c r="M21" s="15"/>
      <c r="N21" s="15"/>
      <c r="O21" s="15"/>
      <c r="P21" s="15"/>
      <c r="Q21" s="15"/>
      <c r="R21" s="15"/>
      <c r="S21" s="15"/>
      <c r="T21" s="15"/>
    </row>
    <row r="22" spans="1:20" ht="21.75" customHeight="1" x14ac:dyDescent="0.35">
      <c r="A22" s="15"/>
      <c r="B22" s="27" t="s">
        <v>294</v>
      </c>
      <c r="C22" s="54">
        <v>4</v>
      </c>
      <c r="D22" s="55">
        <v>8</v>
      </c>
      <c r="E22" s="56">
        <v>14</v>
      </c>
      <c r="F22" s="57">
        <f>ROUND(IF('📋 DATOS'!C13="Menos de 6 meses",4,IF('📋 DATOS'!C13="6–24 meses",ROUND((4+8)/2,0),IF('📋 DATOS'!C13="2–4 años",8,ROUND((8+14)/2,0))))*'📋 DATOS'!E24,0)</f>
        <v>0</v>
      </c>
      <c r="G22" s="58" t="str">
        <f>IF(F22&lt;=4,"⚠ MEV",IF(F22&lt;=8,"✓ Óptimo","⚡ Techo"))</f>
        <v>⚠ MEV</v>
      </c>
      <c r="H22" s="15"/>
      <c r="I22" s="15"/>
      <c r="J22" s="15"/>
      <c r="K22" s="15"/>
      <c r="L22" s="15"/>
      <c r="M22" s="15"/>
      <c r="N22" s="15"/>
      <c r="O22" s="15"/>
      <c r="P22" s="15"/>
      <c r="Q22" s="15"/>
      <c r="R22" s="15"/>
      <c r="S22" s="15"/>
      <c r="T22" s="15"/>
    </row>
    <row r="23" spans="1:20" ht="21.75" customHeight="1" x14ac:dyDescent="0.35">
      <c r="A23" s="15"/>
      <c r="B23" s="35" t="s">
        <v>295</v>
      </c>
      <c r="C23" s="59">
        <v>8</v>
      </c>
      <c r="D23" s="60">
        <v>14</v>
      </c>
      <c r="E23" s="61">
        <v>20</v>
      </c>
      <c r="F23" s="62">
        <f>ROUND(IF('📋 DATOS'!C13="Menos de 6 meses",8,IF('📋 DATOS'!C13="6–24 meses",ROUND((8+14)/2,0),IF('📋 DATOS'!C13="2–4 años",14,ROUND((14+20)/2,0))))*'📋 DATOS'!E24,0)</f>
        <v>0</v>
      </c>
      <c r="G23" s="63" t="str">
        <f>IF(F23&lt;=8,"⚠ MEV",IF(F23&lt;=14,"✓ Óptimo","⚡ Techo"))</f>
        <v>⚠ MEV</v>
      </c>
      <c r="H23" s="15"/>
      <c r="I23" s="15"/>
      <c r="J23" s="15"/>
      <c r="K23" s="15"/>
      <c r="L23" s="15"/>
      <c r="M23" s="15"/>
      <c r="N23" s="15"/>
      <c r="O23" s="15"/>
      <c r="P23" s="15"/>
      <c r="Q23" s="15"/>
      <c r="R23" s="15"/>
      <c r="S23" s="15"/>
      <c r="T23" s="15"/>
    </row>
    <row r="24" spans="1:20" ht="19.5" customHeight="1" x14ac:dyDescent="0.35">
      <c r="A24" s="15"/>
      <c r="B24" s="15"/>
      <c r="C24" s="15"/>
      <c r="D24" s="15"/>
      <c r="E24" s="15"/>
      <c r="F24" s="15"/>
      <c r="G24" s="15"/>
      <c r="H24" s="15"/>
      <c r="I24" s="15"/>
      <c r="J24" s="15"/>
      <c r="K24" s="15"/>
      <c r="L24" s="15"/>
      <c r="M24" s="15"/>
      <c r="N24" s="15"/>
      <c r="O24" s="15"/>
      <c r="P24" s="15"/>
      <c r="Q24" s="15"/>
      <c r="R24" s="15"/>
      <c r="S24" s="15"/>
      <c r="T24" s="15"/>
    </row>
    <row r="25" spans="1:20" ht="19.5" customHeight="1" x14ac:dyDescent="0.35">
      <c r="A25" s="15"/>
      <c r="B25" s="15"/>
      <c r="C25" s="15"/>
      <c r="D25" s="15"/>
      <c r="E25" s="15"/>
      <c r="F25" s="15"/>
      <c r="G25" s="15"/>
      <c r="H25" s="15"/>
      <c r="I25" s="15"/>
      <c r="J25" s="15"/>
      <c r="K25" s="15"/>
      <c r="L25" s="15"/>
      <c r="M25" s="15"/>
      <c r="N25" s="15"/>
      <c r="O25" s="15"/>
      <c r="P25" s="15"/>
      <c r="Q25" s="15"/>
      <c r="R25" s="15"/>
      <c r="S25" s="15"/>
      <c r="T25" s="15"/>
    </row>
    <row r="26" spans="1:20" ht="27.75" customHeight="1" x14ac:dyDescent="0.35">
      <c r="A26" s="15"/>
      <c r="B26" s="11" t="s">
        <v>296</v>
      </c>
      <c r="C26" s="11"/>
      <c r="D26" s="11"/>
      <c r="E26" s="11"/>
      <c r="F26" s="11"/>
      <c r="G26" s="15"/>
      <c r="H26" s="15"/>
      <c r="I26" s="15"/>
      <c r="J26" s="15"/>
      <c r="K26" s="15"/>
      <c r="L26" s="15"/>
      <c r="M26" s="15"/>
      <c r="N26" s="15"/>
      <c r="O26" s="15"/>
      <c r="P26" s="15"/>
      <c r="Q26" s="15"/>
      <c r="R26" s="15"/>
      <c r="S26" s="15"/>
      <c r="T26" s="15"/>
    </row>
    <row r="27" spans="1:20" ht="30" customHeight="1" x14ac:dyDescent="0.35">
      <c r="A27" s="15"/>
      <c r="B27" s="64" t="s">
        <v>297</v>
      </c>
      <c r="C27" s="65" t="s">
        <v>298</v>
      </c>
      <c r="D27" s="141" t="s">
        <v>299</v>
      </c>
      <c r="E27" s="141"/>
      <c r="F27" s="141"/>
      <c r="G27" s="141"/>
      <c r="H27" s="15"/>
      <c r="I27" s="15"/>
      <c r="J27" s="15"/>
      <c r="K27" s="15"/>
      <c r="L27" s="15"/>
      <c r="M27" s="15"/>
      <c r="N27" s="15"/>
      <c r="O27" s="15"/>
      <c r="P27" s="15"/>
      <c r="Q27" s="15"/>
      <c r="R27" s="15"/>
      <c r="S27" s="15"/>
      <c r="T27" s="15"/>
    </row>
    <row r="28" spans="1:20" ht="30" customHeight="1" x14ac:dyDescent="0.35">
      <c r="A28" s="15"/>
      <c r="B28" s="66" t="s">
        <v>300</v>
      </c>
      <c r="C28" s="67" t="s">
        <v>301</v>
      </c>
      <c r="D28" s="142" t="s">
        <v>302</v>
      </c>
      <c r="E28" s="142"/>
      <c r="F28" s="142"/>
      <c r="G28" s="142"/>
      <c r="H28" s="15"/>
      <c r="I28" s="15"/>
      <c r="J28" s="15"/>
      <c r="K28" s="15"/>
      <c r="L28" s="15"/>
      <c r="M28" s="15"/>
      <c r="N28" s="15"/>
      <c r="O28" s="15"/>
      <c r="P28" s="15"/>
      <c r="Q28" s="15"/>
      <c r="R28" s="15"/>
      <c r="S28" s="15"/>
      <c r="T28" s="15"/>
    </row>
    <row r="29" spans="1:20" ht="30" customHeight="1" x14ac:dyDescent="0.35">
      <c r="A29" s="15"/>
      <c r="B29" s="64" t="s">
        <v>303</v>
      </c>
      <c r="C29" s="65" t="s">
        <v>304</v>
      </c>
      <c r="D29" s="141" t="s">
        <v>305</v>
      </c>
      <c r="E29" s="141"/>
      <c r="F29" s="141"/>
      <c r="G29" s="141"/>
      <c r="H29" s="15"/>
      <c r="I29" s="15"/>
      <c r="J29" s="15"/>
      <c r="K29" s="15"/>
      <c r="L29" s="15"/>
      <c r="M29" s="15"/>
      <c r="N29" s="15"/>
      <c r="O29" s="15"/>
      <c r="P29" s="15"/>
      <c r="Q29" s="15"/>
      <c r="R29" s="15"/>
      <c r="S29" s="15"/>
      <c r="T29" s="15"/>
    </row>
    <row r="30" spans="1:20" ht="30" customHeight="1" x14ac:dyDescent="0.35">
      <c r="A30" s="15"/>
      <c r="B30" s="66" t="s">
        <v>306</v>
      </c>
      <c r="C30" s="67" t="s">
        <v>307</v>
      </c>
      <c r="D30" s="142" t="s">
        <v>308</v>
      </c>
      <c r="E30" s="142"/>
      <c r="F30" s="142"/>
      <c r="G30" s="142"/>
      <c r="H30" s="15"/>
      <c r="I30" s="15"/>
      <c r="J30" s="15"/>
      <c r="K30" s="15"/>
      <c r="L30" s="15"/>
      <c r="M30" s="15"/>
      <c r="N30" s="15"/>
      <c r="O30" s="15"/>
      <c r="P30" s="15"/>
      <c r="Q30" s="15"/>
      <c r="R30" s="15"/>
      <c r="S30" s="15"/>
      <c r="T30" s="15"/>
    </row>
    <row r="31" spans="1:20" ht="30" customHeight="1" x14ac:dyDescent="0.35">
      <c r="A31" s="15"/>
      <c r="B31" s="64" t="s">
        <v>309</v>
      </c>
      <c r="C31" s="65" t="s">
        <v>310</v>
      </c>
      <c r="D31" s="141" t="s">
        <v>311</v>
      </c>
      <c r="E31" s="141"/>
      <c r="F31" s="141"/>
      <c r="G31" s="141"/>
      <c r="H31" s="15"/>
      <c r="I31" s="15"/>
      <c r="J31" s="15"/>
      <c r="K31" s="15"/>
      <c r="L31" s="15"/>
      <c r="M31" s="15"/>
      <c r="N31" s="15"/>
      <c r="O31" s="15"/>
      <c r="P31" s="15"/>
      <c r="Q31" s="15"/>
      <c r="R31" s="15"/>
      <c r="S31" s="15"/>
      <c r="T31" s="15"/>
    </row>
    <row r="32" spans="1:20" ht="19.5" customHeight="1" x14ac:dyDescent="0.35">
      <c r="A32" s="15"/>
      <c r="B32" s="15"/>
      <c r="C32" s="15"/>
      <c r="D32" s="15"/>
      <c r="E32" s="15"/>
      <c r="F32" s="15"/>
      <c r="G32" s="15"/>
      <c r="H32" s="15"/>
      <c r="I32" s="15"/>
      <c r="J32" s="15"/>
      <c r="K32" s="15"/>
      <c r="L32" s="15"/>
      <c r="M32" s="15"/>
      <c r="N32" s="15"/>
      <c r="O32" s="15"/>
      <c r="P32" s="15"/>
      <c r="Q32" s="15"/>
      <c r="R32" s="15"/>
      <c r="S32" s="15"/>
      <c r="T32" s="15"/>
    </row>
    <row r="33" spans="1:20" ht="27.75" customHeight="1" x14ac:dyDescent="0.35">
      <c r="A33" s="15"/>
      <c r="B33" s="11" t="s">
        <v>312</v>
      </c>
      <c r="C33" s="11"/>
      <c r="D33" s="11"/>
      <c r="E33" s="11"/>
      <c r="F33" s="11"/>
      <c r="G33" s="15"/>
      <c r="H33" s="15"/>
      <c r="I33" s="15"/>
      <c r="J33" s="15"/>
      <c r="K33" s="15"/>
      <c r="L33" s="15"/>
      <c r="M33" s="15"/>
      <c r="N33" s="15"/>
      <c r="O33" s="15"/>
      <c r="P33" s="15"/>
      <c r="Q33" s="15"/>
      <c r="R33" s="15"/>
      <c r="S33" s="15"/>
      <c r="T33" s="15"/>
    </row>
    <row r="34" spans="1:20" ht="33.75" customHeight="1" x14ac:dyDescent="0.35">
      <c r="A34" s="15"/>
      <c r="B34" s="68" t="s">
        <v>313</v>
      </c>
      <c r="C34" s="69" t="s">
        <v>314</v>
      </c>
      <c r="D34" s="141" t="s">
        <v>315</v>
      </c>
      <c r="E34" s="141"/>
      <c r="F34" s="141"/>
      <c r="G34" s="141"/>
      <c r="H34" s="15"/>
      <c r="I34" s="15"/>
      <c r="J34" s="15"/>
      <c r="K34" s="15"/>
      <c r="L34" s="15"/>
      <c r="M34" s="15"/>
      <c r="N34" s="15"/>
      <c r="O34" s="15"/>
      <c r="P34" s="15"/>
      <c r="Q34" s="15"/>
      <c r="R34" s="15"/>
      <c r="S34" s="15"/>
      <c r="T34" s="15"/>
    </row>
    <row r="35" spans="1:20" ht="33.75" customHeight="1" x14ac:dyDescent="0.35">
      <c r="A35" s="15"/>
      <c r="B35" s="70" t="s">
        <v>316</v>
      </c>
      <c r="C35" s="71" t="s">
        <v>317</v>
      </c>
      <c r="D35" s="142" t="s">
        <v>318</v>
      </c>
      <c r="E35" s="142"/>
      <c r="F35" s="142"/>
      <c r="G35" s="142"/>
      <c r="H35" s="15"/>
      <c r="I35" s="15"/>
      <c r="J35" s="15"/>
      <c r="K35" s="15"/>
      <c r="L35" s="15"/>
      <c r="M35" s="15"/>
      <c r="N35" s="15"/>
      <c r="O35" s="15"/>
      <c r="P35" s="15"/>
      <c r="Q35" s="15"/>
      <c r="R35" s="15"/>
      <c r="S35" s="15"/>
      <c r="T35" s="15"/>
    </row>
    <row r="36" spans="1:20" ht="33.75" customHeight="1" x14ac:dyDescent="0.35">
      <c r="A36" s="15"/>
      <c r="B36" s="72" t="s">
        <v>319</v>
      </c>
      <c r="C36" s="73" t="s">
        <v>320</v>
      </c>
      <c r="D36" s="141" t="s">
        <v>321</v>
      </c>
      <c r="E36" s="141"/>
      <c r="F36" s="141"/>
      <c r="G36" s="141"/>
      <c r="H36" s="15"/>
      <c r="I36" s="15"/>
      <c r="J36" s="15"/>
      <c r="K36" s="15"/>
      <c r="L36" s="15"/>
      <c r="M36" s="15"/>
      <c r="N36" s="15"/>
      <c r="O36" s="15"/>
      <c r="P36" s="15"/>
      <c r="Q36" s="15"/>
      <c r="R36" s="15"/>
      <c r="S36" s="15"/>
      <c r="T36" s="15"/>
    </row>
    <row r="37" spans="1:20" ht="33.75" customHeight="1" x14ac:dyDescent="0.35">
      <c r="A37" s="15"/>
      <c r="B37" s="74" t="s">
        <v>322</v>
      </c>
      <c r="C37" s="75" t="s">
        <v>323</v>
      </c>
      <c r="D37" s="142" t="s">
        <v>324</v>
      </c>
      <c r="E37" s="142"/>
      <c r="F37" s="142"/>
      <c r="G37" s="142"/>
      <c r="H37" s="15"/>
      <c r="I37" s="15"/>
      <c r="J37" s="15"/>
      <c r="K37" s="15"/>
      <c r="L37" s="15"/>
      <c r="M37" s="15"/>
      <c r="N37" s="15"/>
      <c r="O37" s="15"/>
      <c r="P37" s="15"/>
      <c r="Q37" s="15"/>
      <c r="R37" s="15"/>
      <c r="S37" s="15"/>
      <c r="T37" s="15"/>
    </row>
    <row r="38" spans="1:20" ht="19.5" customHeight="1" x14ac:dyDescent="0.35">
      <c r="A38" s="15"/>
      <c r="B38" s="15"/>
      <c r="C38" s="15"/>
      <c r="D38" s="15"/>
      <c r="E38" s="15"/>
      <c r="F38" s="15"/>
      <c r="G38" s="15"/>
      <c r="H38" s="15"/>
      <c r="I38" s="15"/>
      <c r="J38" s="15"/>
      <c r="K38" s="15"/>
      <c r="L38" s="15"/>
      <c r="M38" s="15"/>
      <c r="N38" s="15"/>
      <c r="O38" s="15"/>
      <c r="P38" s="15"/>
      <c r="Q38" s="15"/>
      <c r="R38" s="15"/>
      <c r="S38" s="15"/>
      <c r="T38" s="15"/>
    </row>
    <row r="39" spans="1:20" ht="19.5" customHeight="1" x14ac:dyDescent="0.35">
      <c r="A39" s="15"/>
      <c r="B39" s="15"/>
      <c r="C39" s="15"/>
      <c r="D39" s="15"/>
      <c r="E39" s="15"/>
      <c r="F39" s="15"/>
      <c r="G39" s="15"/>
      <c r="H39" s="15"/>
      <c r="I39" s="15"/>
      <c r="J39" s="15"/>
      <c r="K39" s="15"/>
      <c r="L39" s="15"/>
      <c r="M39" s="15"/>
      <c r="N39" s="15"/>
      <c r="O39" s="15"/>
      <c r="P39" s="15"/>
      <c r="Q39" s="15"/>
      <c r="R39" s="15"/>
      <c r="S39" s="15"/>
      <c r="T39" s="15"/>
    </row>
    <row r="40" spans="1:20" ht="27.75" customHeight="1" x14ac:dyDescent="0.35">
      <c r="A40" s="15"/>
      <c r="B40" s="143" t="s">
        <v>325</v>
      </c>
      <c r="C40" s="143"/>
      <c r="D40" s="143"/>
      <c r="E40" s="143"/>
      <c r="F40" s="143"/>
      <c r="G40" s="15"/>
      <c r="H40" s="15"/>
      <c r="I40" s="15"/>
      <c r="J40" s="15"/>
      <c r="K40" s="15"/>
      <c r="L40" s="15"/>
      <c r="M40" s="15"/>
      <c r="N40" s="15"/>
      <c r="O40" s="15"/>
      <c r="P40" s="15"/>
      <c r="Q40" s="15"/>
      <c r="R40" s="15"/>
      <c r="S40" s="15"/>
      <c r="T40" s="15"/>
    </row>
    <row r="41" spans="1:20" ht="25.5" customHeight="1" x14ac:dyDescent="0.35">
      <c r="A41" s="15"/>
      <c r="B41" s="76" t="s">
        <v>326</v>
      </c>
      <c r="C41" s="77" t="s">
        <v>327</v>
      </c>
      <c r="D41" s="141" t="s">
        <v>328</v>
      </c>
      <c r="E41" s="141"/>
      <c r="F41" s="141"/>
      <c r="G41" s="141"/>
      <c r="H41" s="15"/>
      <c r="I41" s="15"/>
      <c r="J41" s="15"/>
      <c r="K41" s="15"/>
      <c r="L41" s="15"/>
      <c r="M41" s="15"/>
      <c r="N41" s="15"/>
      <c r="O41" s="15"/>
      <c r="P41" s="15"/>
      <c r="Q41" s="15"/>
      <c r="R41" s="15"/>
      <c r="S41" s="15"/>
      <c r="T41" s="15"/>
    </row>
    <row r="42" spans="1:20" ht="25.5" customHeight="1" x14ac:dyDescent="0.35">
      <c r="A42" s="15"/>
      <c r="B42" s="78" t="s">
        <v>82</v>
      </c>
      <c r="C42" s="79" t="s">
        <v>329</v>
      </c>
      <c r="D42" s="142" t="s">
        <v>330</v>
      </c>
      <c r="E42" s="142"/>
      <c r="F42" s="142"/>
      <c r="G42" s="142"/>
      <c r="H42" s="15"/>
      <c r="I42" s="15"/>
      <c r="J42" s="15"/>
      <c r="K42" s="15"/>
      <c r="L42" s="15"/>
      <c r="M42" s="15"/>
      <c r="N42" s="15"/>
      <c r="O42" s="15"/>
      <c r="P42" s="15"/>
      <c r="Q42" s="15"/>
      <c r="R42" s="15"/>
      <c r="S42" s="15"/>
      <c r="T42" s="15"/>
    </row>
    <row r="43" spans="1:20" ht="25.5" customHeight="1" x14ac:dyDescent="0.35">
      <c r="A43" s="15"/>
      <c r="B43" s="80" t="s">
        <v>75</v>
      </c>
      <c r="C43" s="81" t="s">
        <v>331</v>
      </c>
      <c r="D43" s="141" t="s">
        <v>332</v>
      </c>
      <c r="E43" s="141"/>
      <c r="F43" s="141"/>
      <c r="G43" s="141"/>
      <c r="H43" s="15"/>
      <c r="I43" s="15"/>
      <c r="J43" s="15"/>
      <c r="K43" s="15"/>
      <c r="L43" s="15"/>
      <c r="M43" s="15"/>
      <c r="N43" s="15"/>
      <c r="O43" s="15"/>
      <c r="P43" s="15"/>
      <c r="Q43" s="15"/>
      <c r="R43" s="15"/>
      <c r="S43" s="15"/>
      <c r="T43" s="15"/>
    </row>
    <row r="44" spans="1:20" ht="25.5" customHeight="1" x14ac:dyDescent="0.35">
      <c r="A44" s="15"/>
      <c r="B44" s="82" t="s">
        <v>333</v>
      </c>
      <c r="C44" s="83" t="s">
        <v>334</v>
      </c>
      <c r="D44" s="142" t="s">
        <v>335</v>
      </c>
      <c r="E44" s="142"/>
      <c r="F44" s="142"/>
      <c r="G44" s="142"/>
      <c r="H44" s="15"/>
      <c r="I44" s="15"/>
      <c r="J44" s="15"/>
      <c r="K44" s="15"/>
      <c r="L44" s="15"/>
      <c r="M44" s="15"/>
      <c r="N44" s="15"/>
      <c r="O44" s="15"/>
      <c r="P44" s="15"/>
      <c r="Q44" s="15"/>
      <c r="R44" s="15"/>
      <c r="S44" s="15"/>
      <c r="T44" s="15"/>
    </row>
    <row r="45" spans="1:20" ht="25.5" customHeight="1" x14ac:dyDescent="0.35">
      <c r="A45" s="15"/>
      <c r="B45" s="84" t="s">
        <v>336</v>
      </c>
      <c r="C45" s="85" t="s">
        <v>337</v>
      </c>
      <c r="D45" s="141" t="s">
        <v>338</v>
      </c>
      <c r="E45" s="141"/>
      <c r="F45" s="141"/>
      <c r="G45" s="141"/>
      <c r="H45" s="15"/>
      <c r="I45" s="15"/>
      <c r="J45" s="15"/>
      <c r="K45" s="15"/>
      <c r="L45" s="15"/>
      <c r="M45" s="15"/>
      <c r="N45" s="15"/>
      <c r="O45" s="15"/>
      <c r="P45" s="15"/>
      <c r="Q45" s="15"/>
      <c r="R45" s="15"/>
      <c r="S45" s="15"/>
      <c r="T45" s="15"/>
    </row>
    <row r="46" spans="1:20" ht="19.5" customHeight="1" x14ac:dyDescent="0.35">
      <c r="A46" s="15"/>
      <c r="B46" s="15"/>
      <c r="C46" s="15"/>
      <c r="D46" s="15"/>
      <c r="E46" s="15"/>
      <c r="F46" s="15"/>
      <c r="G46" s="15"/>
      <c r="H46" s="15"/>
      <c r="I46" s="15"/>
      <c r="J46" s="15"/>
      <c r="K46" s="15"/>
      <c r="L46" s="15"/>
      <c r="M46" s="15"/>
      <c r="N46" s="15"/>
      <c r="O46" s="15"/>
      <c r="P46" s="15"/>
      <c r="Q46" s="15"/>
      <c r="R46" s="15"/>
      <c r="S46" s="15"/>
      <c r="T46" s="15"/>
    </row>
    <row r="47" spans="1:20" ht="19.5" customHeight="1" x14ac:dyDescent="0.35">
      <c r="A47" s="15"/>
      <c r="B47" s="15"/>
      <c r="C47" s="15"/>
      <c r="D47" s="15"/>
      <c r="E47" s="15"/>
      <c r="F47" s="15"/>
      <c r="G47" s="15"/>
      <c r="H47" s="15"/>
      <c r="I47" s="15"/>
      <c r="J47" s="15"/>
      <c r="K47" s="15"/>
      <c r="L47" s="15"/>
      <c r="M47" s="15"/>
      <c r="N47" s="15"/>
      <c r="O47" s="15"/>
      <c r="P47" s="15"/>
      <c r="Q47" s="15"/>
      <c r="R47" s="15"/>
      <c r="S47" s="15"/>
      <c r="T47" s="15"/>
    </row>
    <row r="48" spans="1:20" ht="19.5" customHeight="1" x14ac:dyDescent="0.35">
      <c r="A48" s="15"/>
      <c r="B48" s="15"/>
      <c r="C48" s="15"/>
      <c r="D48" s="15"/>
      <c r="E48" s="15"/>
      <c r="F48" s="15"/>
      <c r="G48" s="15"/>
      <c r="H48" s="15"/>
      <c r="I48" s="15"/>
      <c r="J48" s="15"/>
      <c r="K48" s="15"/>
      <c r="L48" s="15"/>
      <c r="M48" s="15"/>
      <c r="N48" s="15"/>
      <c r="O48" s="15"/>
      <c r="P48" s="15"/>
      <c r="Q48" s="15"/>
      <c r="R48" s="15"/>
      <c r="S48" s="15"/>
      <c r="T48" s="15"/>
    </row>
    <row r="49" spans="1:20" ht="19.5" customHeight="1" x14ac:dyDescent="0.35">
      <c r="A49" s="15"/>
      <c r="B49" s="15"/>
      <c r="C49" s="15"/>
      <c r="D49" s="15"/>
      <c r="E49" s="15"/>
      <c r="F49" s="15"/>
      <c r="G49" s="15"/>
      <c r="H49" s="15"/>
      <c r="I49" s="15"/>
      <c r="J49" s="15"/>
      <c r="K49" s="15"/>
      <c r="L49" s="15"/>
      <c r="M49" s="15"/>
      <c r="N49" s="15"/>
      <c r="O49" s="15"/>
      <c r="P49" s="15"/>
      <c r="Q49" s="15"/>
      <c r="R49" s="15"/>
      <c r="S49" s="15"/>
      <c r="T49" s="15"/>
    </row>
    <row r="50" spans="1:20" ht="19.5" customHeight="1" x14ac:dyDescent="0.35">
      <c r="A50" s="15"/>
      <c r="B50" s="15"/>
      <c r="C50" s="15"/>
      <c r="D50" s="15"/>
      <c r="E50" s="15"/>
      <c r="F50" s="15"/>
      <c r="G50" s="15"/>
      <c r="H50" s="15"/>
      <c r="I50" s="15"/>
      <c r="J50" s="15"/>
      <c r="K50" s="15"/>
      <c r="L50" s="15"/>
      <c r="M50" s="15"/>
      <c r="N50" s="15"/>
      <c r="O50" s="15"/>
      <c r="P50" s="15"/>
      <c r="Q50" s="15"/>
      <c r="R50" s="15"/>
      <c r="S50" s="15"/>
      <c r="T50" s="15"/>
    </row>
    <row r="51" spans="1:20" ht="19.5" customHeight="1" x14ac:dyDescent="0.35">
      <c r="A51" s="15"/>
      <c r="B51" s="15"/>
      <c r="C51" s="15"/>
      <c r="D51" s="15"/>
      <c r="E51" s="15"/>
      <c r="F51" s="15"/>
      <c r="G51" s="15"/>
      <c r="H51" s="15"/>
      <c r="I51" s="15"/>
      <c r="J51" s="15"/>
      <c r="K51" s="15"/>
      <c r="L51" s="15"/>
      <c r="M51" s="15"/>
      <c r="N51" s="15"/>
      <c r="O51" s="15"/>
      <c r="P51" s="15"/>
      <c r="Q51" s="15"/>
      <c r="R51" s="15"/>
      <c r="S51" s="15"/>
      <c r="T51" s="15"/>
    </row>
    <row r="52" spans="1:20" ht="19.5" customHeight="1" x14ac:dyDescent="0.35">
      <c r="A52" s="15"/>
      <c r="B52" s="15"/>
      <c r="C52" s="15"/>
      <c r="D52" s="15"/>
      <c r="E52" s="15"/>
      <c r="F52" s="15"/>
      <c r="G52" s="15"/>
      <c r="H52" s="15"/>
      <c r="I52" s="15"/>
      <c r="J52" s="15"/>
      <c r="K52" s="15"/>
      <c r="L52" s="15"/>
      <c r="M52" s="15"/>
      <c r="N52" s="15"/>
      <c r="O52" s="15"/>
      <c r="P52" s="15"/>
      <c r="Q52" s="15"/>
      <c r="R52" s="15"/>
      <c r="S52" s="15"/>
      <c r="T52" s="15"/>
    </row>
    <row r="53" spans="1:20" ht="19.5" customHeight="1" x14ac:dyDescent="0.35">
      <c r="A53" s="15"/>
      <c r="B53" s="15"/>
      <c r="C53" s="15"/>
      <c r="D53" s="15"/>
      <c r="E53" s="15"/>
      <c r="F53" s="15"/>
      <c r="G53" s="15"/>
      <c r="H53" s="15"/>
      <c r="I53" s="15"/>
      <c r="J53" s="15"/>
      <c r="K53" s="15"/>
      <c r="L53" s="15"/>
      <c r="M53" s="15"/>
      <c r="N53" s="15"/>
      <c r="O53" s="15"/>
      <c r="P53" s="15"/>
      <c r="Q53" s="15"/>
      <c r="R53" s="15"/>
      <c r="S53" s="15"/>
      <c r="T53" s="15"/>
    </row>
    <row r="54" spans="1:20" ht="19.5" customHeight="1" x14ac:dyDescent="0.35">
      <c r="A54" s="15"/>
      <c r="B54" s="15"/>
      <c r="C54" s="15"/>
      <c r="D54" s="15"/>
      <c r="E54" s="15"/>
      <c r="F54" s="15"/>
      <c r="G54" s="15"/>
      <c r="H54" s="15"/>
      <c r="I54" s="15"/>
      <c r="J54" s="15"/>
      <c r="K54" s="15"/>
      <c r="L54" s="15"/>
      <c r="M54" s="15"/>
      <c r="N54" s="15"/>
      <c r="O54" s="15"/>
      <c r="P54" s="15"/>
      <c r="Q54" s="15"/>
      <c r="R54" s="15"/>
      <c r="S54" s="15"/>
      <c r="T54" s="15"/>
    </row>
    <row r="55" spans="1:20" ht="19.5" customHeight="1" x14ac:dyDescent="0.35">
      <c r="A55" s="15"/>
      <c r="B55" s="15"/>
      <c r="C55" s="15"/>
      <c r="D55" s="15"/>
      <c r="E55" s="15"/>
      <c r="F55" s="15"/>
      <c r="G55" s="15"/>
      <c r="H55" s="15"/>
      <c r="I55" s="15"/>
      <c r="J55" s="15"/>
      <c r="K55" s="15"/>
      <c r="L55" s="15"/>
      <c r="M55" s="15"/>
      <c r="N55" s="15"/>
      <c r="O55" s="15"/>
      <c r="P55" s="15"/>
      <c r="Q55" s="15"/>
      <c r="R55" s="15"/>
      <c r="S55" s="15"/>
      <c r="T55" s="15"/>
    </row>
    <row r="56" spans="1:20" ht="19.5" customHeight="1" x14ac:dyDescent="0.35">
      <c r="A56" s="15"/>
      <c r="B56" s="15"/>
      <c r="C56" s="15"/>
      <c r="D56" s="15"/>
      <c r="E56" s="15"/>
      <c r="F56" s="15"/>
      <c r="G56" s="15"/>
      <c r="H56" s="15"/>
      <c r="I56" s="15"/>
      <c r="J56" s="15"/>
      <c r="K56" s="15"/>
      <c r="L56" s="15"/>
      <c r="M56" s="15"/>
      <c r="N56" s="15"/>
      <c r="O56" s="15"/>
      <c r="P56" s="15"/>
      <c r="Q56" s="15"/>
      <c r="R56" s="15"/>
      <c r="S56" s="15"/>
      <c r="T56" s="15"/>
    </row>
    <row r="57" spans="1:20" ht="19.5" customHeight="1" x14ac:dyDescent="0.35">
      <c r="A57" s="15"/>
      <c r="B57" s="15"/>
      <c r="C57" s="15"/>
      <c r="D57" s="15"/>
      <c r="E57" s="15"/>
      <c r="F57" s="15"/>
      <c r="G57" s="15"/>
      <c r="H57" s="15"/>
      <c r="I57" s="15"/>
      <c r="J57" s="15"/>
      <c r="K57" s="15"/>
      <c r="L57" s="15"/>
      <c r="M57" s="15"/>
      <c r="N57" s="15"/>
      <c r="O57" s="15"/>
      <c r="P57" s="15"/>
      <c r="Q57" s="15"/>
      <c r="R57" s="15"/>
      <c r="S57" s="15"/>
      <c r="T57" s="15"/>
    </row>
    <row r="58" spans="1:20" ht="19.5" customHeight="1" x14ac:dyDescent="0.35">
      <c r="A58" s="15"/>
      <c r="B58" s="15"/>
      <c r="C58" s="15"/>
      <c r="D58" s="15"/>
      <c r="E58" s="15"/>
      <c r="F58" s="15"/>
      <c r="G58" s="15"/>
      <c r="H58" s="15"/>
      <c r="I58" s="15"/>
      <c r="J58" s="15"/>
      <c r="K58" s="15"/>
      <c r="L58" s="15"/>
      <c r="M58" s="15"/>
      <c r="N58" s="15"/>
      <c r="O58" s="15"/>
      <c r="P58" s="15"/>
      <c r="Q58" s="15"/>
      <c r="R58" s="15"/>
      <c r="S58" s="15"/>
      <c r="T58" s="15"/>
    </row>
    <row r="59" spans="1:20" ht="19.5" customHeight="1" x14ac:dyDescent="0.35">
      <c r="A59" s="15"/>
      <c r="B59" s="15"/>
      <c r="C59" s="15"/>
      <c r="D59" s="15"/>
      <c r="E59" s="15"/>
      <c r="F59" s="15"/>
      <c r="G59" s="15"/>
      <c r="H59" s="15"/>
      <c r="I59" s="15"/>
      <c r="J59" s="15"/>
      <c r="K59" s="15"/>
      <c r="L59" s="15"/>
      <c r="M59" s="15"/>
      <c r="N59" s="15"/>
      <c r="O59" s="15"/>
      <c r="P59" s="15"/>
      <c r="Q59" s="15"/>
      <c r="R59" s="15"/>
      <c r="S59" s="15"/>
      <c r="T59" s="15"/>
    </row>
    <row r="60" spans="1:20" ht="19.5" customHeight="1" x14ac:dyDescent="0.35">
      <c r="A60" s="15"/>
      <c r="B60" s="15"/>
      <c r="C60" s="15"/>
      <c r="D60" s="15"/>
      <c r="E60" s="15"/>
      <c r="F60" s="15"/>
      <c r="G60" s="15"/>
      <c r="H60" s="15"/>
      <c r="I60" s="15"/>
      <c r="J60" s="15"/>
      <c r="K60" s="15"/>
      <c r="L60" s="15"/>
      <c r="M60" s="15"/>
      <c r="N60" s="15"/>
      <c r="O60" s="15"/>
      <c r="P60" s="15"/>
      <c r="Q60" s="15"/>
      <c r="R60" s="15"/>
      <c r="S60" s="15"/>
      <c r="T60" s="15"/>
    </row>
    <row r="61" spans="1:20" ht="19.5" customHeight="1" x14ac:dyDescent="0.35">
      <c r="A61" s="15"/>
      <c r="B61" s="15"/>
      <c r="C61" s="15"/>
      <c r="D61" s="15"/>
      <c r="E61" s="15"/>
      <c r="F61" s="15"/>
      <c r="G61" s="15"/>
      <c r="H61" s="15"/>
      <c r="I61" s="15"/>
      <c r="J61" s="15"/>
      <c r="K61" s="15"/>
      <c r="L61" s="15"/>
      <c r="M61" s="15"/>
      <c r="N61" s="15"/>
      <c r="O61" s="15"/>
      <c r="P61" s="15"/>
      <c r="Q61" s="15"/>
      <c r="R61" s="15"/>
      <c r="S61" s="15"/>
      <c r="T61" s="15"/>
    </row>
    <row r="62" spans="1:20" ht="19.5" customHeight="1" x14ac:dyDescent="0.35">
      <c r="A62" s="15"/>
      <c r="B62" s="15"/>
      <c r="C62" s="15"/>
      <c r="D62" s="15"/>
      <c r="E62" s="15"/>
      <c r="F62" s="15"/>
      <c r="G62" s="15"/>
      <c r="H62" s="15"/>
      <c r="I62" s="15"/>
      <c r="J62" s="15"/>
      <c r="K62" s="15"/>
      <c r="L62" s="15"/>
      <c r="M62" s="15"/>
      <c r="N62" s="15"/>
      <c r="O62" s="15"/>
      <c r="P62" s="15"/>
      <c r="Q62" s="15"/>
      <c r="R62" s="15"/>
      <c r="S62" s="15"/>
      <c r="T62" s="15"/>
    </row>
    <row r="63" spans="1:20" ht="19.5" customHeight="1" x14ac:dyDescent="0.35">
      <c r="A63" s="15"/>
      <c r="B63" s="15"/>
      <c r="C63" s="15"/>
      <c r="D63" s="15"/>
      <c r="E63" s="15"/>
      <c r="F63" s="15"/>
      <c r="G63" s="15"/>
      <c r="H63" s="15"/>
      <c r="I63" s="15"/>
      <c r="J63" s="15"/>
      <c r="K63" s="15"/>
      <c r="L63" s="15"/>
      <c r="M63" s="15"/>
      <c r="N63" s="15"/>
      <c r="O63" s="15"/>
      <c r="P63" s="15"/>
      <c r="Q63" s="15"/>
      <c r="R63" s="15"/>
      <c r="S63" s="15"/>
      <c r="T63" s="15"/>
    </row>
    <row r="64" spans="1:20" ht="19.5" customHeight="1" x14ac:dyDescent="0.35">
      <c r="A64" s="15"/>
      <c r="B64" s="15"/>
      <c r="C64" s="15"/>
      <c r="D64" s="15"/>
      <c r="E64" s="15"/>
      <c r="F64" s="15"/>
      <c r="G64" s="15"/>
      <c r="H64" s="15"/>
      <c r="I64" s="15"/>
      <c r="J64" s="15"/>
      <c r="K64" s="15"/>
      <c r="L64" s="15"/>
      <c r="M64" s="15"/>
      <c r="N64" s="15"/>
      <c r="O64" s="15"/>
      <c r="P64" s="15"/>
      <c r="Q64" s="15"/>
      <c r="R64" s="15"/>
      <c r="S64" s="15"/>
      <c r="T64" s="15"/>
    </row>
    <row r="65" spans="1:20" ht="19.5" customHeight="1" x14ac:dyDescent="0.35">
      <c r="A65" s="15"/>
      <c r="B65" s="15"/>
      <c r="C65" s="15"/>
      <c r="D65" s="15"/>
      <c r="E65" s="15"/>
      <c r="F65" s="15"/>
      <c r="G65" s="15"/>
      <c r="H65" s="15"/>
      <c r="I65" s="15"/>
      <c r="J65" s="15"/>
      <c r="K65" s="15"/>
      <c r="L65" s="15"/>
      <c r="M65" s="15"/>
      <c r="N65" s="15"/>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19.5" customHeight="1" x14ac:dyDescent="0.35">
      <c r="A67" s="15"/>
      <c r="B67" s="15"/>
      <c r="C67" s="15"/>
      <c r="D67" s="15"/>
      <c r="E67" s="15"/>
      <c r="F67" s="15"/>
      <c r="G67" s="15"/>
      <c r="H67" s="15"/>
      <c r="I67" s="15"/>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5" customHeight="1" x14ac:dyDescent="0.35">
      <c r="A80" s="15"/>
      <c r="B80" s="15"/>
      <c r="C80" s="15"/>
      <c r="D80" s="15"/>
      <c r="E80" s="15"/>
      <c r="F80" s="15"/>
      <c r="G80" s="15"/>
      <c r="H80" s="15"/>
      <c r="I80" s="15"/>
      <c r="J80" s="15"/>
      <c r="K80" s="15"/>
      <c r="L80" s="15"/>
      <c r="M80" s="15"/>
      <c r="N80" s="15"/>
      <c r="O80" s="15"/>
      <c r="P80" s="15"/>
      <c r="Q80" s="15"/>
      <c r="R80" s="15"/>
      <c r="S80" s="15"/>
      <c r="T80" s="15"/>
    </row>
    <row r="81" spans="1:20" ht="15" customHeight="1" x14ac:dyDescent="0.35">
      <c r="A81" s="15"/>
      <c r="B81" s="15"/>
      <c r="C81" s="15"/>
      <c r="D81" s="15"/>
      <c r="E81" s="15"/>
      <c r="F81" s="15"/>
      <c r="G81" s="15"/>
      <c r="H81" s="15"/>
      <c r="I81" s="15"/>
      <c r="J81" s="15"/>
      <c r="K81" s="15"/>
      <c r="L81" s="15"/>
      <c r="M81" s="15"/>
      <c r="N81" s="15"/>
      <c r="O81" s="15"/>
      <c r="P81" s="15"/>
      <c r="Q81" s="15"/>
      <c r="R81" s="15"/>
      <c r="S81" s="15"/>
      <c r="T81" s="15"/>
    </row>
    <row r="82" spans="1:20" ht="15" customHeight="1" x14ac:dyDescent="0.35">
      <c r="A82" s="15"/>
      <c r="B82" s="15"/>
      <c r="C82" s="15"/>
      <c r="D82" s="15"/>
      <c r="E82" s="15"/>
      <c r="F82" s="15"/>
      <c r="G82" s="15"/>
      <c r="H82" s="15"/>
      <c r="I82" s="15"/>
      <c r="J82" s="15"/>
      <c r="K82" s="15"/>
      <c r="L82" s="15"/>
      <c r="M82" s="15"/>
      <c r="N82" s="15"/>
      <c r="O82" s="15"/>
      <c r="P82" s="15"/>
      <c r="Q82" s="15"/>
      <c r="R82" s="15"/>
      <c r="S82" s="15"/>
      <c r="T82" s="15"/>
    </row>
    <row r="83" spans="1:20" ht="15" customHeight="1" x14ac:dyDescent="0.35">
      <c r="A83" s="15"/>
      <c r="B83" s="15"/>
      <c r="C83" s="15"/>
      <c r="D83" s="15"/>
      <c r="E83" s="15"/>
      <c r="F83" s="15"/>
      <c r="G83" s="15"/>
      <c r="H83" s="15"/>
      <c r="I83" s="15"/>
      <c r="J83" s="15"/>
      <c r="K83" s="15"/>
      <c r="L83" s="15"/>
      <c r="M83" s="15"/>
      <c r="N83" s="15"/>
      <c r="O83" s="15"/>
      <c r="P83" s="15"/>
      <c r="Q83" s="15"/>
      <c r="R83" s="15"/>
      <c r="S83" s="15"/>
      <c r="T83" s="15"/>
    </row>
    <row r="84" spans="1:20" ht="15" customHeight="1" x14ac:dyDescent="0.35">
      <c r="A84" s="15"/>
      <c r="B84" s="15"/>
      <c r="C84" s="15"/>
      <c r="D84" s="15"/>
      <c r="E84" s="15"/>
      <c r="F84" s="15"/>
      <c r="G84" s="15"/>
      <c r="H84" s="15"/>
      <c r="I84" s="15"/>
      <c r="J84" s="15"/>
      <c r="K84" s="15"/>
      <c r="L84" s="15"/>
      <c r="M84" s="15"/>
      <c r="N84" s="15"/>
      <c r="O84" s="15"/>
      <c r="P84" s="15"/>
      <c r="Q84" s="15"/>
      <c r="R84" s="15"/>
      <c r="S84" s="15"/>
      <c r="T84" s="15"/>
    </row>
    <row r="85" spans="1:20" ht="15" customHeight="1" x14ac:dyDescent="0.35">
      <c r="A85" s="15"/>
      <c r="B85" s="15"/>
      <c r="C85" s="15"/>
      <c r="D85" s="15"/>
      <c r="E85" s="15"/>
      <c r="F85" s="15"/>
      <c r="G85" s="15"/>
      <c r="H85" s="15"/>
      <c r="I85" s="15"/>
      <c r="J85" s="15"/>
      <c r="K85" s="15"/>
      <c r="L85" s="15"/>
      <c r="M85" s="15"/>
      <c r="N85" s="15"/>
      <c r="O85" s="15"/>
      <c r="P85" s="15"/>
      <c r="Q85" s="15"/>
      <c r="R85" s="15"/>
      <c r="S85" s="15"/>
      <c r="T85" s="15"/>
    </row>
    <row r="86" spans="1:20" ht="15" customHeight="1" x14ac:dyDescent="0.35">
      <c r="A86" s="15"/>
      <c r="B86" s="15"/>
      <c r="C86" s="15"/>
      <c r="D86" s="15"/>
      <c r="E86" s="15"/>
      <c r="F86" s="15"/>
      <c r="G86" s="15"/>
      <c r="H86" s="15"/>
      <c r="I86" s="15"/>
      <c r="J86" s="15"/>
      <c r="K86" s="15"/>
      <c r="L86" s="15"/>
      <c r="M86" s="15"/>
      <c r="N86" s="15"/>
      <c r="O86" s="15"/>
      <c r="P86" s="15"/>
      <c r="Q86" s="15"/>
      <c r="R86" s="15"/>
      <c r="S86" s="15"/>
      <c r="T86" s="15"/>
    </row>
    <row r="87" spans="1:20" ht="15" customHeight="1" x14ac:dyDescent="0.35">
      <c r="A87" s="15"/>
      <c r="B87" s="15"/>
      <c r="C87" s="15"/>
      <c r="D87" s="15"/>
      <c r="E87" s="15"/>
      <c r="F87" s="15"/>
      <c r="G87" s="15"/>
      <c r="H87" s="15"/>
      <c r="I87" s="15"/>
      <c r="J87" s="15"/>
      <c r="K87" s="15"/>
      <c r="L87" s="15"/>
      <c r="M87" s="15"/>
      <c r="N87" s="15"/>
      <c r="O87" s="15"/>
      <c r="P87" s="15"/>
      <c r="Q87" s="15"/>
      <c r="R87" s="15"/>
      <c r="S87" s="15"/>
      <c r="T87" s="15"/>
    </row>
    <row r="88" spans="1:20" ht="15" customHeight="1" x14ac:dyDescent="0.35">
      <c r="A88" s="15"/>
      <c r="B88" s="15"/>
      <c r="C88" s="15"/>
      <c r="D88" s="15"/>
      <c r="E88" s="15"/>
      <c r="F88" s="15"/>
      <c r="G88" s="15"/>
      <c r="H88" s="15"/>
      <c r="I88" s="15"/>
      <c r="J88" s="15"/>
      <c r="K88" s="15"/>
      <c r="L88" s="15"/>
      <c r="M88" s="15"/>
      <c r="N88" s="15"/>
      <c r="O88" s="15"/>
      <c r="P88" s="15"/>
      <c r="Q88" s="15"/>
      <c r="R88" s="15"/>
      <c r="S88" s="15"/>
      <c r="T88" s="15"/>
    </row>
    <row r="89" spans="1:20" ht="15" customHeight="1" x14ac:dyDescent="0.35">
      <c r="A89" s="15"/>
      <c r="B89" s="15"/>
      <c r="C89" s="15"/>
      <c r="D89" s="15"/>
      <c r="E89" s="15"/>
      <c r="F89" s="15"/>
      <c r="G89" s="15"/>
      <c r="H89" s="15"/>
      <c r="I89" s="15"/>
      <c r="J89" s="15"/>
      <c r="K89" s="15"/>
      <c r="L89" s="15"/>
      <c r="M89" s="15"/>
      <c r="N89" s="15"/>
      <c r="O89" s="15"/>
      <c r="P89" s="15"/>
      <c r="Q89" s="15"/>
      <c r="R89" s="15"/>
      <c r="S89" s="15"/>
      <c r="T89" s="15"/>
    </row>
    <row r="90" spans="1:20" ht="15" customHeight="1" x14ac:dyDescent="0.35">
      <c r="A90" s="15"/>
      <c r="B90" s="15"/>
      <c r="C90" s="15"/>
      <c r="D90" s="15"/>
      <c r="E90" s="15"/>
      <c r="F90" s="15"/>
      <c r="G90" s="15"/>
      <c r="H90" s="15"/>
      <c r="I90" s="15"/>
      <c r="J90" s="15"/>
      <c r="K90" s="15"/>
      <c r="L90" s="15"/>
      <c r="M90" s="15"/>
      <c r="N90" s="15"/>
      <c r="O90" s="15"/>
      <c r="P90" s="15"/>
      <c r="Q90" s="15"/>
      <c r="R90" s="15"/>
      <c r="S90" s="15"/>
      <c r="T90" s="15"/>
    </row>
    <row r="91" spans="1:20" ht="15" customHeight="1" x14ac:dyDescent="0.35">
      <c r="A91" s="15"/>
      <c r="B91" s="15"/>
      <c r="C91" s="15"/>
      <c r="D91" s="15"/>
      <c r="E91" s="15"/>
      <c r="F91" s="15"/>
      <c r="G91" s="15"/>
      <c r="H91" s="15"/>
      <c r="I91" s="15"/>
      <c r="J91" s="15"/>
      <c r="K91" s="15"/>
      <c r="L91" s="15"/>
      <c r="M91" s="15"/>
      <c r="N91" s="15"/>
      <c r="O91" s="15"/>
      <c r="P91" s="15"/>
      <c r="Q91" s="15"/>
      <c r="R91" s="15"/>
      <c r="S91" s="15"/>
      <c r="T91" s="15"/>
    </row>
    <row r="92" spans="1:20" ht="15" customHeight="1" x14ac:dyDescent="0.35">
      <c r="A92" s="15"/>
      <c r="B92" s="15"/>
      <c r="C92" s="15"/>
      <c r="D92" s="15"/>
      <c r="E92" s="15"/>
      <c r="F92" s="15"/>
      <c r="G92" s="15"/>
      <c r="H92" s="15"/>
      <c r="I92" s="15"/>
      <c r="J92" s="15"/>
      <c r="K92" s="15"/>
      <c r="L92" s="15"/>
      <c r="M92" s="15"/>
      <c r="N92" s="15"/>
      <c r="O92" s="15"/>
      <c r="P92" s="15"/>
      <c r="Q92" s="15"/>
      <c r="R92" s="15"/>
      <c r="S92" s="15"/>
      <c r="T92" s="15"/>
    </row>
    <row r="93" spans="1:20" ht="15" customHeight="1" x14ac:dyDescent="0.35">
      <c r="A93" s="15"/>
      <c r="B93" s="15"/>
      <c r="C93" s="15"/>
      <c r="D93" s="15"/>
      <c r="E93" s="15"/>
      <c r="F93" s="15"/>
      <c r="G93" s="15"/>
      <c r="H93" s="15"/>
      <c r="I93" s="15"/>
      <c r="J93" s="15"/>
      <c r="K93" s="15"/>
      <c r="L93" s="15"/>
      <c r="M93" s="15"/>
      <c r="N93" s="15"/>
      <c r="O93" s="15"/>
      <c r="P93" s="15"/>
      <c r="Q93" s="15"/>
      <c r="R93" s="15"/>
      <c r="S93" s="15"/>
      <c r="T93" s="15"/>
    </row>
    <row r="94" spans="1:20" ht="15" customHeight="1" x14ac:dyDescent="0.35">
      <c r="A94" s="15"/>
      <c r="B94" s="15"/>
      <c r="C94" s="15"/>
      <c r="D94" s="15"/>
      <c r="E94" s="15"/>
      <c r="F94" s="15"/>
      <c r="G94" s="15"/>
      <c r="H94" s="15"/>
      <c r="I94" s="15"/>
      <c r="J94" s="15"/>
      <c r="K94" s="15"/>
      <c r="L94" s="15"/>
      <c r="M94" s="15"/>
      <c r="N94" s="15"/>
      <c r="O94" s="15"/>
      <c r="P94" s="15"/>
      <c r="Q94" s="15"/>
      <c r="R94" s="15"/>
      <c r="S94" s="15"/>
      <c r="T94" s="15"/>
    </row>
    <row r="95" spans="1:20" ht="15" customHeight="1" x14ac:dyDescent="0.35">
      <c r="A95" s="15"/>
      <c r="B95" s="15"/>
      <c r="C95" s="15"/>
      <c r="D95" s="15"/>
      <c r="E95" s="15"/>
      <c r="F95" s="15"/>
      <c r="G95" s="15"/>
      <c r="H95" s="15"/>
      <c r="I95" s="15"/>
      <c r="J95" s="15"/>
      <c r="K95" s="15"/>
      <c r="L95" s="15"/>
      <c r="M95" s="15"/>
      <c r="N95" s="15"/>
      <c r="O95" s="15"/>
      <c r="P95" s="15"/>
      <c r="Q95" s="15"/>
      <c r="R95" s="15"/>
      <c r="S95" s="15"/>
      <c r="T95" s="15"/>
    </row>
    <row r="96" spans="1:20" ht="15" customHeight="1" x14ac:dyDescent="0.35">
      <c r="A96" s="15"/>
      <c r="B96" s="15"/>
      <c r="C96" s="15"/>
      <c r="D96" s="15"/>
      <c r="E96" s="15"/>
      <c r="F96" s="15"/>
      <c r="G96" s="15"/>
      <c r="H96" s="15"/>
      <c r="I96" s="15"/>
      <c r="J96" s="15"/>
      <c r="K96" s="15"/>
      <c r="L96" s="15"/>
      <c r="M96" s="15"/>
      <c r="N96" s="15"/>
      <c r="O96" s="15"/>
      <c r="P96" s="15"/>
      <c r="Q96" s="15"/>
      <c r="R96" s="15"/>
      <c r="S96" s="15"/>
      <c r="T96" s="15"/>
    </row>
    <row r="97" spans="1:20" ht="15" customHeight="1" x14ac:dyDescent="0.35">
      <c r="A97" s="15"/>
      <c r="B97" s="15"/>
      <c r="C97" s="15"/>
      <c r="D97" s="15"/>
      <c r="E97" s="15"/>
      <c r="F97" s="15"/>
      <c r="G97" s="15"/>
      <c r="H97" s="15"/>
      <c r="I97" s="15"/>
      <c r="J97" s="15"/>
      <c r="K97" s="15"/>
      <c r="L97" s="15"/>
      <c r="M97" s="15"/>
      <c r="N97" s="15"/>
      <c r="O97" s="15"/>
      <c r="P97" s="15"/>
      <c r="Q97" s="15"/>
      <c r="R97" s="15"/>
      <c r="S97" s="15"/>
      <c r="T97" s="15"/>
    </row>
    <row r="98" spans="1:20" ht="15" customHeight="1" x14ac:dyDescent="0.35">
      <c r="A98" s="15"/>
      <c r="B98" s="15"/>
      <c r="C98" s="15"/>
      <c r="D98" s="15"/>
      <c r="E98" s="15"/>
      <c r="F98" s="15"/>
      <c r="G98" s="15"/>
      <c r="H98" s="15"/>
      <c r="I98" s="15"/>
      <c r="J98" s="15"/>
      <c r="K98" s="15"/>
      <c r="L98" s="15"/>
      <c r="M98" s="15"/>
      <c r="N98" s="15"/>
      <c r="O98" s="15"/>
      <c r="P98" s="15"/>
      <c r="Q98" s="15"/>
      <c r="R98" s="15"/>
      <c r="S98" s="15"/>
      <c r="T98" s="15"/>
    </row>
    <row r="99" spans="1:20" ht="15" customHeight="1" x14ac:dyDescent="0.35">
      <c r="A99" s="15"/>
      <c r="B99" s="15"/>
      <c r="C99" s="15"/>
      <c r="D99" s="15"/>
      <c r="E99" s="15"/>
      <c r="F99" s="15"/>
      <c r="G99" s="15"/>
      <c r="H99" s="15"/>
      <c r="I99" s="15"/>
      <c r="J99" s="15"/>
      <c r="K99" s="15"/>
      <c r="L99" s="15"/>
      <c r="M99" s="15"/>
      <c r="N99" s="15"/>
      <c r="O99" s="15"/>
      <c r="P99" s="15"/>
      <c r="Q99" s="15"/>
      <c r="R99" s="15"/>
      <c r="S99" s="15"/>
      <c r="T99" s="15"/>
    </row>
    <row r="100" spans="1:20" ht="1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5" customHeight="1" x14ac:dyDescent="0.35">
      <c r="A120" s="15"/>
      <c r="B120" s="15"/>
      <c r="C120" s="15"/>
      <c r="D120" s="15"/>
      <c r="E120" s="15"/>
      <c r="F120" s="15"/>
      <c r="G120" s="15"/>
      <c r="H120" s="15"/>
      <c r="I120" s="15"/>
      <c r="J120" s="15"/>
      <c r="K120" s="15"/>
      <c r="L120" s="15"/>
      <c r="M120" s="15"/>
      <c r="N120" s="15"/>
      <c r="O120" s="15"/>
      <c r="P120" s="15"/>
      <c r="Q120" s="15"/>
      <c r="R120" s="15"/>
      <c r="S120" s="15"/>
      <c r="T120" s="15"/>
    </row>
  </sheetData>
  <mergeCells count="26">
    <mergeCell ref="D45:G45"/>
    <mergeCell ref="B40:F40"/>
    <mergeCell ref="D41:G41"/>
    <mergeCell ref="D42:G42"/>
    <mergeCell ref="D43:G43"/>
    <mergeCell ref="D44:G44"/>
    <mergeCell ref="B33:F33"/>
    <mergeCell ref="D34:G34"/>
    <mergeCell ref="D35:G35"/>
    <mergeCell ref="D36:G36"/>
    <mergeCell ref="D37:G37"/>
    <mergeCell ref="D27:G27"/>
    <mergeCell ref="D28:G28"/>
    <mergeCell ref="D29:G29"/>
    <mergeCell ref="D30:G30"/>
    <mergeCell ref="D31:G31"/>
    <mergeCell ref="D8:G8"/>
    <mergeCell ref="D9:G9"/>
    <mergeCell ref="D10:G10"/>
    <mergeCell ref="B12:F12"/>
    <mergeCell ref="B26:F26"/>
    <mergeCell ref="B2:N2"/>
    <mergeCell ref="B3:N3"/>
    <mergeCell ref="B5:F5"/>
    <mergeCell ref="D6:G6"/>
    <mergeCell ref="D7:G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82F6"/>
  </sheetPr>
  <dimension ref="A1:T120"/>
  <sheetViews>
    <sheetView showGridLines="0" zoomScaleNormal="100" workbookViewId="0"/>
  </sheetViews>
  <sheetFormatPr baseColWidth="10" defaultColWidth="8.6328125" defaultRowHeight="14.5" x14ac:dyDescent="0.35"/>
  <cols>
    <col min="1" max="1" width="2" customWidth="1"/>
    <col min="2" max="2" width="20" customWidth="1"/>
    <col min="3" max="3" width="32" customWidth="1"/>
    <col min="4" max="4" width="30" customWidth="1"/>
    <col min="5" max="5" width="2" customWidth="1"/>
  </cols>
  <sheetData>
    <row r="1" spans="1:20" ht="19.5" customHeight="1" x14ac:dyDescent="0.35">
      <c r="A1" s="15"/>
      <c r="B1" s="15"/>
      <c r="C1" s="15"/>
      <c r="D1" s="15"/>
      <c r="E1" s="15"/>
      <c r="F1" s="15"/>
      <c r="G1" s="15"/>
      <c r="H1" s="15"/>
      <c r="I1" s="15"/>
      <c r="J1" s="15"/>
      <c r="K1" s="15"/>
      <c r="L1" s="15"/>
      <c r="M1" s="15"/>
      <c r="N1" s="15"/>
      <c r="O1" s="15"/>
      <c r="P1" s="15"/>
      <c r="Q1" s="15"/>
      <c r="R1" s="15"/>
      <c r="S1" s="15"/>
      <c r="T1" s="15"/>
    </row>
    <row r="2" spans="1:20" ht="43.5" customHeight="1" x14ac:dyDescent="0.35">
      <c r="A2" s="15"/>
      <c r="B2" s="124" t="s">
        <v>339</v>
      </c>
      <c r="C2" s="124"/>
      <c r="D2" s="124"/>
      <c r="E2" s="124"/>
      <c r="F2" s="124"/>
      <c r="G2" s="124"/>
      <c r="H2" s="124"/>
      <c r="I2" s="124"/>
      <c r="J2" s="124"/>
      <c r="K2" s="124"/>
      <c r="L2" s="124"/>
      <c r="M2" s="124"/>
      <c r="N2" s="124"/>
      <c r="O2" s="15"/>
      <c r="P2" s="15"/>
      <c r="Q2" s="15"/>
      <c r="R2" s="15"/>
      <c r="S2" s="15"/>
      <c r="T2" s="15"/>
    </row>
    <row r="3" spans="1:20" ht="19.5" customHeight="1" x14ac:dyDescent="0.35">
      <c r="A3" s="15"/>
      <c r="B3" s="125" t="s">
        <v>340</v>
      </c>
      <c r="C3" s="125"/>
      <c r="D3" s="125"/>
      <c r="E3" s="125"/>
      <c r="F3" s="125"/>
      <c r="G3" s="125"/>
      <c r="H3" s="125"/>
      <c r="I3" s="125"/>
      <c r="J3" s="125"/>
      <c r="K3" s="125"/>
      <c r="L3" s="125"/>
      <c r="M3" s="125"/>
      <c r="N3" s="125"/>
      <c r="O3" s="15"/>
      <c r="P3" s="15"/>
      <c r="Q3" s="15"/>
      <c r="R3" s="15"/>
      <c r="S3" s="15"/>
      <c r="T3" s="15"/>
    </row>
    <row r="4" spans="1:20" ht="19.5" customHeight="1" x14ac:dyDescent="0.35">
      <c r="A4" s="15"/>
      <c r="B4" s="15"/>
      <c r="C4" s="15"/>
      <c r="D4" s="15"/>
      <c r="E4" s="15"/>
      <c r="F4" s="15"/>
      <c r="G4" s="15"/>
      <c r="H4" s="15"/>
      <c r="I4" s="15"/>
      <c r="J4" s="15"/>
      <c r="K4" s="15"/>
      <c r="L4" s="15"/>
      <c r="M4" s="15"/>
      <c r="N4" s="15"/>
      <c r="O4" s="15"/>
      <c r="P4" s="15"/>
      <c r="Q4" s="15"/>
      <c r="R4" s="15"/>
      <c r="S4" s="15"/>
      <c r="T4" s="15"/>
    </row>
    <row r="5" spans="1:20" ht="27.75" customHeight="1" x14ac:dyDescent="0.35">
      <c r="A5" s="15"/>
      <c r="B5" s="144" t="s">
        <v>341</v>
      </c>
      <c r="C5" s="144"/>
      <c r="D5" s="144"/>
      <c r="E5" s="15"/>
      <c r="F5" s="15"/>
      <c r="G5" s="15"/>
      <c r="H5" s="15"/>
      <c r="I5" s="15"/>
      <c r="J5" s="15"/>
      <c r="K5" s="15"/>
      <c r="L5" s="15"/>
      <c r="M5" s="15"/>
      <c r="N5" s="15"/>
      <c r="O5" s="15"/>
      <c r="P5" s="15"/>
      <c r="Q5" s="15"/>
      <c r="R5" s="15"/>
      <c r="S5" s="15"/>
      <c r="T5" s="15"/>
    </row>
    <row r="6" spans="1:20" ht="21.75" customHeight="1" x14ac:dyDescent="0.35">
      <c r="A6" s="15"/>
      <c r="B6" s="145" t="s">
        <v>342</v>
      </c>
      <c r="C6" s="145"/>
      <c r="D6" s="145"/>
      <c r="E6" s="15"/>
      <c r="F6" s="15"/>
      <c r="G6" s="15"/>
      <c r="H6" s="15"/>
      <c r="I6" s="15"/>
      <c r="J6" s="15"/>
      <c r="K6" s="15"/>
      <c r="L6" s="15"/>
      <c r="M6" s="15"/>
      <c r="N6" s="15"/>
      <c r="O6" s="15"/>
      <c r="P6" s="15"/>
      <c r="Q6" s="15"/>
      <c r="R6" s="15"/>
      <c r="S6" s="15"/>
      <c r="T6" s="15"/>
    </row>
    <row r="7" spans="1:20" ht="49.5" customHeight="1" x14ac:dyDescent="0.35">
      <c r="A7" s="15"/>
      <c r="B7" s="146" t="s">
        <v>343</v>
      </c>
      <c r="C7" s="146"/>
      <c r="D7" s="146"/>
      <c r="E7" s="15"/>
      <c r="F7" s="15"/>
      <c r="G7" s="15"/>
      <c r="H7" s="15"/>
      <c r="I7" s="15"/>
      <c r="J7" s="15"/>
      <c r="K7" s="15"/>
      <c r="L7" s="15"/>
      <c r="M7" s="15"/>
      <c r="N7" s="15"/>
      <c r="O7" s="15"/>
      <c r="P7" s="15"/>
      <c r="Q7" s="15"/>
      <c r="R7" s="15"/>
      <c r="S7" s="15"/>
      <c r="T7" s="15"/>
    </row>
    <row r="8" spans="1:20" ht="21.75" customHeight="1" x14ac:dyDescent="0.35">
      <c r="A8" s="15"/>
      <c r="B8" s="145" t="s">
        <v>344</v>
      </c>
      <c r="C8" s="145"/>
      <c r="D8" s="145"/>
      <c r="E8" s="15"/>
      <c r="F8" s="15"/>
      <c r="G8" s="15"/>
      <c r="H8" s="15"/>
      <c r="I8" s="15"/>
      <c r="J8" s="15"/>
      <c r="K8" s="15"/>
      <c r="L8" s="15"/>
      <c r="M8" s="15"/>
      <c r="N8" s="15"/>
      <c r="O8" s="15"/>
      <c r="P8" s="15"/>
      <c r="Q8" s="15"/>
      <c r="R8" s="15"/>
      <c r="S8" s="15"/>
      <c r="T8" s="15"/>
    </row>
    <row r="9" spans="1:20" ht="49.5" customHeight="1" x14ac:dyDescent="0.35">
      <c r="A9" s="15"/>
      <c r="B9" s="146" t="s">
        <v>345</v>
      </c>
      <c r="C9" s="146"/>
      <c r="D9" s="146"/>
      <c r="E9" s="15"/>
      <c r="F9" s="15"/>
      <c r="G9" s="15"/>
      <c r="H9" s="15"/>
      <c r="I9" s="15"/>
      <c r="J9" s="15"/>
      <c r="K9" s="15"/>
      <c r="L9" s="15"/>
      <c r="M9" s="15"/>
      <c r="N9" s="15"/>
      <c r="O9" s="15"/>
      <c r="P9" s="15"/>
      <c r="Q9" s="15"/>
      <c r="R9" s="15"/>
      <c r="S9" s="15"/>
      <c r="T9" s="15"/>
    </row>
    <row r="10" spans="1:20" ht="21.75" customHeight="1" x14ac:dyDescent="0.35">
      <c r="A10" s="15"/>
      <c r="B10" s="145" t="s">
        <v>346</v>
      </c>
      <c r="C10" s="145"/>
      <c r="D10" s="145"/>
      <c r="E10" s="15"/>
      <c r="F10" s="15"/>
      <c r="G10" s="15"/>
      <c r="H10" s="15"/>
      <c r="I10" s="15"/>
      <c r="J10" s="15"/>
      <c r="K10" s="15"/>
      <c r="L10" s="15"/>
      <c r="M10" s="15"/>
      <c r="N10" s="15"/>
      <c r="O10" s="15"/>
      <c r="P10" s="15"/>
      <c r="Q10" s="15"/>
      <c r="R10" s="15"/>
      <c r="S10" s="15"/>
      <c r="T10" s="15"/>
    </row>
    <row r="11" spans="1:20" ht="49.5" customHeight="1" x14ac:dyDescent="0.35">
      <c r="A11" s="15"/>
      <c r="B11" s="146" t="s">
        <v>347</v>
      </c>
      <c r="C11" s="146"/>
      <c r="D11" s="146"/>
      <c r="E11" s="15"/>
      <c r="F11" s="15"/>
      <c r="G11" s="15"/>
      <c r="H11" s="15"/>
      <c r="I11" s="15"/>
      <c r="J11" s="15"/>
      <c r="K11" s="15"/>
      <c r="L11" s="15"/>
      <c r="M11" s="15"/>
      <c r="N11" s="15"/>
      <c r="O11" s="15"/>
      <c r="P11" s="15"/>
      <c r="Q11" s="15"/>
      <c r="R11" s="15"/>
      <c r="S11" s="15"/>
      <c r="T11" s="15"/>
    </row>
    <row r="12" spans="1:20" ht="21.75" customHeight="1" x14ac:dyDescent="0.35">
      <c r="A12" s="15"/>
      <c r="B12" s="145" t="s">
        <v>348</v>
      </c>
      <c r="C12" s="145"/>
      <c r="D12" s="145"/>
      <c r="E12" s="15"/>
      <c r="F12" s="15"/>
      <c r="G12" s="15"/>
      <c r="H12" s="15"/>
      <c r="I12" s="15"/>
      <c r="J12" s="15"/>
      <c r="K12" s="15"/>
      <c r="L12" s="15"/>
      <c r="M12" s="15"/>
      <c r="N12" s="15"/>
      <c r="O12" s="15"/>
      <c r="P12" s="15"/>
      <c r="Q12" s="15"/>
      <c r="R12" s="15"/>
      <c r="S12" s="15"/>
      <c r="T12" s="15"/>
    </row>
    <row r="13" spans="1:20" ht="49.5" customHeight="1" x14ac:dyDescent="0.35">
      <c r="A13" s="15"/>
      <c r="B13" s="146" t="s">
        <v>349</v>
      </c>
      <c r="C13" s="146"/>
      <c r="D13" s="146"/>
      <c r="E13" s="15"/>
      <c r="F13" s="15"/>
      <c r="G13" s="15"/>
      <c r="H13" s="15"/>
      <c r="I13" s="15"/>
      <c r="J13" s="15"/>
      <c r="K13" s="15"/>
      <c r="L13" s="15"/>
      <c r="M13" s="15"/>
      <c r="N13" s="15"/>
      <c r="O13" s="15"/>
      <c r="P13" s="15"/>
      <c r="Q13" s="15"/>
      <c r="R13" s="15"/>
      <c r="S13" s="15"/>
      <c r="T13" s="15"/>
    </row>
    <row r="14" spans="1:20" ht="19.5" customHeight="1" x14ac:dyDescent="0.35">
      <c r="A14" s="15"/>
      <c r="B14" s="15"/>
      <c r="C14" s="15"/>
      <c r="D14" s="15"/>
      <c r="E14" s="15"/>
      <c r="F14" s="15"/>
      <c r="G14" s="15"/>
      <c r="H14" s="15"/>
      <c r="I14" s="15"/>
      <c r="J14" s="15"/>
      <c r="K14" s="15"/>
      <c r="L14" s="15"/>
      <c r="M14" s="15"/>
      <c r="N14" s="15"/>
      <c r="O14" s="15"/>
      <c r="P14" s="15"/>
      <c r="Q14" s="15"/>
      <c r="R14" s="15"/>
      <c r="S14" s="15"/>
      <c r="T14" s="15"/>
    </row>
    <row r="15" spans="1:20" ht="27.75" customHeight="1" x14ac:dyDescent="0.35">
      <c r="A15" s="15"/>
      <c r="B15" s="11" t="s">
        <v>350</v>
      </c>
      <c r="C15" s="11"/>
      <c r="D15" s="11"/>
      <c r="E15" s="15"/>
      <c r="F15" s="15"/>
      <c r="G15" s="15"/>
      <c r="H15" s="15"/>
      <c r="I15" s="15"/>
      <c r="J15" s="15"/>
      <c r="K15" s="15"/>
      <c r="L15" s="15"/>
      <c r="M15" s="15"/>
      <c r="N15" s="15"/>
      <c r="O15" s="15"/>
      <c r="P15" s="15"/>
      <c r="Q15" s="15"/>
      <c r="R15" s="15"/>
      <c r="S15" s="15"/>
      <c r="T15" s="15"/>
    </row>
    <row r="16" spans="1:20" ht="21.75" customHeight="1" x14ac:dyDescent="0.35">
      <c r="A16" s="15"/>
      <c r="B16" s="86" t="s">
        <v>351</v>
      </c>
      <c r="C16" s="86" t="s">
        <v>352</v>
      </c>
      <c r="D16" s="86" t="s">
        <v>353</v>
      </c>
      <c r="E16" s="15"/>
      <c r="F16" s="15"/>
      <c r="G16" s="15"/>
      <c r="H16" s="15"/>
      <c r="I16" s="15"/>
      <c r="J16" s="15"/>
      <c r="K16" s="15"/>
      <c r="L16" s="15"/>
      <c r="M16" s="15"/>
      <c r="N16" s="15"/>
      <c r="O16" s="15"/>
      <c r="P16" s="15"/>
      <c r="Q16" s="15"/>
      <c r="R16" s="15"/>
      <c r="S16" s="15"/>
      <c r="T16" s="15"/>
    </row>
    <row r="17" spans="1:20" ht="69.75" customHeight="1" x14ac:dyDescent="0.35">
      <c r="A17" s="15"/>
      <c r="B17" s="87" t="s">
        <v>354</v>
      </c>
      <c r="C17" s="88" t="s">
        <v>355</v>
      </c>
      <c r="D17" s="89" t="s">
        <v>356</v>
      </c>
      <c r="E17" s="15"/>
      <c r="F17" s="15"/>
      <c r="G17" s="15"/>
      <c r="H17" s="15"/>
      <c r="I17" s="15"/>
      <c r="J17" s="15"/>
      <c r="K17" s="15"/>
      <c r="L17" s="15"/>
      <c r="M17" s="15"/>
      <c r="N17" s="15"/>
      <c r="O17" s="15"/>
      <c r="P17" s="15"/>
      <c r="Q17" s="15"/>
      <c r="R17" s="15"/>
      <c r="S17" s="15"/>
      <c r="T17" s="15"/>
    </row>
    <row r="18" spans="1:20" ht="69.75" customHeight="1" x14ac:dyDescent="0.35">
      <c r="A18" s="15"/>
      <c r="B18" s="90" t="s">
        <v>357</v>
      </c>
      <c r="C18" s="91" t="s">
        <v>358</v>
      </c>
      <c r="D18" s="92" t="s">
        <v>359</v>
      </c>
      <c r="E18" s="15"/>
      <c r="F18" s="15"/>
      <c r="G18" s="15"/>
      <c r="H18" s="15"/>
      <c r="I18" s="15"/>
      <c r="J18" s="15"/>
      <c r="K18" s="15"/>
      <c r="L18" s="15"/>
      <c r="M18" s="15"/>
      <c r="N18" s="15"/>
      <c r="O18" s="15"/>
      <c r="P18" s="15"/>
      <c r="Q18" s="15"/>
      <c r="R18" s="15"/>
      <c r="S18" s="15"/>
      <c r="T18" s="15"/>
    </row>
    <row r="19" spans="1:20" ht="69.75" customHeight="1" x14ac:dyDescent="0.35">
      <c r="A19" s="15"/>
      <c r="B19" s="87" t="s">
        <v>360</v>
      </c>
      <c r="C19" s="88" t="s">
        <v>361</v>
      </c>
      <c r="D19" s="89" t="s">
        <v>362</v>
      </c>
      <c r="E19" s="15"/>
      <c r="F19" s="15"/>
      <c r="G19" s="15"/>
      <c r="H19" s="15"/>
      <c r="I19" s="15"/>
      <c r="J19" s="15"/>
      <c r="K19" s="15"/>
      <c r="L19" s="15"/>
      <c r="M19" s="15"/>
      <c r="N19" s="15"/>
      <c r="O19" s="15"/>
      <c r="P19" s="15"/>
      <c r="Q19" s="15"/>
      <c r="R19" s="15"/>
      <c r="S19" s="15"/>
      <c r="T19" s="15"/>
    </row>
    <row r="20" spans="1:20" ht="69.75" customHeight="1" x14ac:dyDescent="0.35">
      <c r="A20" s="15"/>
      <c r="B20" s="90" t="s">
        <v>363</v>
      </c>
      <c r="C20" s="91" t="s">
        <v>364</v>
      </c>
      <c r="D20" s="92" t="s">
        <v>365</v>
      </c>
      <c r="E20" s="15"/>
      <c r="F20" s="15"/>
      <c r="G20" s="15"/>
      <c r="H20" s="15"/>
      <c r="I20" s="15"/>
      <c r="J20" s="15"/>
      <c r="K20" s="15"/>
      <c r="L20" s="15"/>
      <c r="M20" s="15"/>
      <c r="N20" s="15"/>
      <c r="O20" s="15"/>
      <c r="P20" s="15"/>
      <c r="Q20" s="15"/>
      <c r="R20" s="15"/>
      <c r="S20" s="15"/>
      <c r="T20" s="15"/>
    </row>
    <row r="21" spans="1:20" ht="69.75" customHeight="1" x14ac:dyDescent="0.35">
      <c r="A21" s="15"/>
      <c r="B21" s="87" t="s">
        <v>366</v>
      </c>
      <c r="C21" s="88" t="s">
        <v>367</v>
      </c>
      <c r="D21" s="89" t="s">
        <v>368</v>
      </c>
      <c r="E21" s="15"/>
      <c r="F21" s="15"/>
      <c r="G21" s="15"/>
      <c r="H21" s="15"/>
      <c r="I21" s="15"/>
      <c r="J21" s="15"/>
      <c r="K21" s="15"/>
      <c r="L21" s="15"/>
      <c r="M21" s="15"/>
      <c r="N21" s="15"/>
      <c r="O21" s="15"/>
      <c r="P21" s="15"/>
      <c r="Q21" s="15"/>
      <c r="R21" s="15"/>
      <c r="S21" s="15"/>
      <c r="T21" s="15"/>
    </row>
    <row r="22" spans="1:20" ht="69.75" customHeight="1" x14ac:dyDescent="0.35">
      <c r="A22" s="15"/>
      <c r="B22" s="90" t="s">
        <v>369</v>
      </c>
      <c r="C22" s="91" t="s">
        <v>370</v>
      </c>
      <c r="D22" s="92" t="s">
        <v>371</v>
      </c>
      <c r="E22" s="15"/>
      <c r="F22" s="15"/>
      <c r="G22" s="15"/>
      <c r="H22" s="15"/>
      <c r="I22" s="15"/>
      <c r="J22" s="15"/>
      <c r="K22" s="15"/>
      <c r="L22" s="15"/>
      <c r="M22" s="15"/>
      <c r="N22" s="15"/>
      <c r="O22" s="15"/>
      <c r="P22" s="15"/>
      <c r="Q22" s="15"/>
      <c r="R22" s="15"/>
      <c r="S22" s="15"/>
      <c r="T22" s="15"/>
    </row>
    <row r="23" spans="1:20" ht="19.5" customHeight="1" x14ac:dyDescent="0.35">
      <c r="A23" s="15"/>
      <c r="B23" s="15"/>
      <c r="C23" s="15"/>
      <c r="D23" s="15"/>
      <c r="E23" s="15"/>
      <c r="F23" s="15"/>
      <c r="G23" s="15"/>
      <c r="H23" s="15"/>
      <c r="I23" s="15"/>
      <c r="J23" s="15"/>
      <c r="K23" s="15"/>
      <c r="L23" s="15"/>
      <c r="M23" s="15"/>
      <c r="N23" s="15"/>
      <c r="O23" s="15"/>
      <c r="P23" s="15"/>
      <c r="Q23" s="15"/>
      <c r="R23" s="15"/>
      <c r="S23" s="15"/>
      <c r="T23" s="15"/>
    </row>
    <row r="24" spans="1:20" ht="27.75" customHeight="1" x14ac:dyDescent="0.35">
      <c r="A24" s="15"/>
      <c r="B24" s="11" t="s">
        <v>372</v>
      </c>
      <c r="C24" s="11"/>
      <c r="D24" s="11"/>
      <c r="E24" s="15"/>
      <c r="F24" s="15"/>
      <c r="G24" s="15"/>
      <c r="H24" s="15"/>
      <c r="I24" s="15"/>
      <c r="J24" s="15"/>
      <c r="K24" s="15"/>
      <c r="L24" s="15"/>
      <c r="M24" s="15"/>
      <c r="N24" s="15"/>
      <c r="O24" s="15"/>
      <c r="P24" s="15"/>
      <c r="Q24" s="15"/>
      <c r="R24" s="15"/>
      <c r="S24" s="15"/>
      <c r="T24" s="15"/>
    </row>
    <row r="25" spans="1:20" ht="21.75" customHeight="1" x14ac:dyDescent="0.35">
      <c r="A25" s="15"/>
      <c r="B25" s="86" t="s">
        <v>373</v>
      </c>
      <c r="C25" s="86" t="s">
        <v>374</v>
      </c>
      <c r="D25" s="86" t="s">
        <v>375</v>
      </c>
      <c r="E25" s="15"/>
      <c r="F25" s="15"/>
      <c r="G25" s="15"/>
      <c r="H25" s="15"/>
      <c r="I25" s="15"/>
      <c r="J25" s="15"/>
      <c r="K25" s="15"/>
      <c r="L25" s="15"/>
      <c r="M25" s="15"/>
      <c r="N25" s="15"/>
      <c r="O25" s="15"/>
      <c r="P25" s="15"/>
      <c r="Q25" s="15"/>
      <c r="R25" s="15"/>
      <c r="S25" s="15"/>
      <c r="T25" s="15"/>
    </row>
    <row r="26" spans="1:20" ht="109.5" customHeight="1" x14ac:dyDescent="0.35">
      <c r="A26" s="15"/>
      <c r="B26" s="93" t="s">
        <v>376</v>
      </c>
      <c r="C26" s="88" t="s">
        <v>377</v>
      </c>
      <c r="D26" s="94" t="s">
        <v>378</v>
      </c>
      <c r="E26" s="15"/>
      <c r="F26" s="15"/>
      <c r="G26" s="15"/>
      <c r="H26" s="15"/>
      <c r="I26" s="15"/>
      <c r="J26" s="15"/>
      <c r="K26" s="15"/>
      <c r="L26" s="15"/>
      <c r="M26" s="15"/>
      <c r="N26" s="15"/>
      <c r="O26" s="15"/>
      <c r="P26" s="15"/>
      <c r="Q26" s="15"/>
      <c r="R26" s="15"/>
      <c r="S26" s="15"/>
      <c r="T26" s="15"/>
    </row>
    <row r="27" spans="1:20" ht="109.5" customHeight="1" x14ac:dyDescent="0.35">
      <c r="A27" s="15"/>
      <c r="B27" s="95" t="s">
        <v>379</v>
      </c>
      <c r="C27" s="91" t="s">
        <v>380</v>
      </c>
      <c r="D27" s="96" t="s">
        <v>381</v>
      </c>
      <c r="E27" s="15"/>
      <c r="F27" s="15"/>
      <c r="G27" s="15"/>
      <c r="H27" s="15"/>
      <c r="I27" s="15"/>
      <c r="J27" s="15"/>
      <c r="K27" s="15"/>
      <c r="L27" s="15"/>
      <c r="M27" s="15"/>
      <c r="N27" s="15"/>
      <c r="O27" s="15"/>
      <c r="P27" s="15"/>
      <c r="Q27" s="15"/>
      <c r="R27" s="15"/>
      <c r="S27" s="15"/>
      <c r="T27" s="15"/>
    </row>
    <row r="28" spans="1:20" ht="109.5" customHeight="1" x14ac:dyDescent="0.35">
      <c r="A28" s="15"/>
      <c r="B28" s="93" t="s">
        <v>382</v>
      </c>
      <c r="C28" s="88" t="s">
        <v>383</v>
      </c>
      <c r="D28" s="94" t="s">
        <v>384</v>
      </c>
      <c r="E28" s="15"/>
      <c r="F28" s="15"/>
      <c r="G28" s="15"/>
      <c r="H28" s="15"/>
      <c r="I28" s="15"/>
      <c r="J28" s="15"/>
      <c r="K28" s="15"/>
      <c r="L28" s="15"/>
      <c r="M28" s="15"/>
      <c r="N28" s="15"/>
      <c r="O28" s="15"/>
      <c r="P28" s="15"/>
      <c r="Q28" s="15"/>
      <c r="R28" s="15"/>
      <c r="S28" s="15"/>
      <c r="T28" s="15"/>
    </row>
    <row r="29" spans="1:20" ht="19.5" customHeight="1" x14ac:dyDescent="0.35">
      <c r="A29" s="15"/>
      <c r="B29" s="15"/>
      <c r="C29" s="15"/>
      <c r="D29" s="15"/>
      <c r="E29" s="15"/>
      <c r="F29" s="15"/>
      <c r="G29" s="15"/>
      <c r="H29" s="15"/>
      <c r="I29" s="15"/>
      <c r="J29" s="15"/>
      <c r="K29" s="15"/>
      <c r="L29" s="15"/>
      <c r="M29" s="15"/>
      <c r="N29" s="15"/>
      <c r="O29" s="15"/>
      <c r="P29" s="15"/>
      <c r="Q29" s="15"/>
      <c r="R29" s="15"/>
      <c r="S29" s="15"/>
      <c r="T29" s="15"/>
    </row>
    <row r="30" spans="1:20" ht="27.75" customHeight="1" x14ac:dyDescent="0.35">
      <c r="A30" s="15"/>
      <c r="B30" s="143" t="s">
        <v>385</v>
      </c>
      <c r="C30" s="143"/>
      <c r="D30" s="143"/>
      <c r="E30" s="15"/>
      <c r="F30" s="15"/>
      <c r="G30" s="15"/>
      <c r="H30" s="15"/>
      <c r="I30" s="15"/>
      <c r="J30" s="15"/>
      <c r="K30" s="15"/>
      <c r="L30" s="15"/>
      <c r="M30" s="15"/>
      <c r="N30" s="15"/>
      <c r="O30" s="15"/>
      <c r="P30" s="15"/>
      <c r="Q30" s="15"/>
      <c r="R30" s="15"/>
      <c r="S30" s="15"/>
      <c r="T30" s="15"/>
    </row>
    <row r="31" spans="1:20" ht="21.75" customHeight="1" x14ac:dyDescent="0.35">
      <c r="A31" s="15"/>
      <c r="B31" s="147" t="s">
        <v>386</v>
      </c>
      <c r="C31" s="147"/>
      <c r="D31" s="147"/>
      <c r="E31" s="15"/>
      <c r="F31" s="15"/>
      <c r="G31" s="15"/>
      <c r="H31" s="15"/>
      <c r="I31" s="15"/>
      <c r="J31" s="15"/>
      <c r="K31" s="15"/>
      <c r="L31" s="15"/>
      <c r="M31" s="15"/>
      <c r="N31" s="15"/>
      <c r="O31" s="15"/>
      <c r="P31" s="15"/>
      <c r="Q31" s="15"/>
      <c r="R31" s="15"/>
      <c r="S31" s="15"/>
      <c r="T31" s="15"/>
    </row>
    <row r="32" spans="1:20" ht="19.5" customHeight="1" x14ac:dyDescent="0.35">
      <c r="A32" s="15"/>
      <c r="B32" s="15"/>
      <c r="C32" s="15"/>
      <c r="D32" s="15"/>
      <c r="E32" s="15"/>
      <c r="F32" s="15"/>
      <c r="G32" s="15"/>
      <c r="H32" s="15"/>
      <c r="I32" s="15"/>
      <c r="J32" s="15"/>
      <c r="K32" s="15"/>
      <c r="L32" s="15"/>
      <c r="M32" s="15"/>
      <c r="N32" s="15"/>
      <c r="O32" s="15"/>
      <c r="P32" s="15"/>
      <c r="Q32" s="15"/>
      <c r="R32" s="15"/>
      <c r="S32" s="15"/>
      <c r="T32" s="15"/>
    </row>
    <row r="33" spans="1:20" ht="19.5" customHeight="1" x14ac:dyDescent="0.35">
      <c r="A33" s="15"/>
      <c r="B33" s="15"/>
      <c r="C33" s="15"/>
      <c r="D33" s="15"/>
      <c r="E33" s="15"/>
      <c r="F33" s="15"/>
      <c r="G33" s="15"/>
      <c r="H33" s="15"/>
      <c r="I33" s="15"/>
      <c r="J33" s="15"/>
      <c r="K33" s="15"/>
      <c r="L33" s="15"/>
      <c r="M33" s="15"/>
      <c r="N33" s="15"/>
      <c r="O33" s="15"/>
      <c r="P33" s="15"/>
      <c r="Q33" s="15"/>
      <c r="R33" s="15"/>
      <c r="S33" s="15"/>
      <c r="T33" s="15"/>
    </row>
    <row r="34" spans="1:20" ht="19.5" customHeight="1" x14ac:dyDescent="0.35">
      <c r="A34" s="15"/>
      <c r="B34" s="15"/>
      <c r="C34" s="15"/>
      <c r="D34" s="15"/>
      <c r="E34" s="15"/>
      <c r="F34" s="15"/>
      <c r="G34" s="15"/>
      <c r="H34" s="15"/>
      <c r="I34" s="15"/>
      <c r="J34" s="15"/>
      <c r="K34" s="15"/>
      <c r="L34" s="15"/>
      <c r="M34" s="15"/>
      <c r="N34" s="15"/>
      <c r="O34" s="15"/>
      <c r="P34" s="15"/>
      <c r="Q34" s="15"/>
      <c r="R34" s="15"/>
      <c r="S34" s="15"/>
      <c r="T34" s="15"/>
    </row>
    <row r="35" spans="1:20" ht="19.5" customHeight="1" x14ac:dyDescent="0.35">
      <c r="A35" s="15"/>
      <c r="B35" s="15"/>
      <c r="C35" s="15"/>
      <c r="D35" s="15"/>
      <c r="E35" s="15"/>
      <c r="F35" s="15"/>
      <c r="G35" s="15"/>
      <c r="H35" s="15"/>
      <c r="I35" s="15"/>
      <c r="J35" s="15"/>
      <c r="K35" s="15"/>
      <c r="L35" s="15"/>
      <c r="M35" s="15"/>
      <c r="N35" s="15"/>
      <c r="O35" s="15"/>
      <c r="P35" s="15"/>
      <c r="Q35" s="15"/>
      <c r="R35" s="15"/>
      <c r="S35" s="15"/>
      <c r="T35" s="15"/>
    </row>
    <row r="36" spans="1:20" ht="19.5" customHeight="1" x14ac:dyDescent="0.35">
      <c r="A36" s="15"/>
      <c r="B36" s="15"/>
      <c r="C36" s="15"/>
      <c r="D36" s="15"/>
      <c r="E36" s="15"/>
      <c r="F36" s="15"/>
      <c r="G36" s="15"/>
      <c r="H36" s="15"/>
      <c r="I36" s="15"/>
      <c r="J36" s="15"/>
      <c r="K36" s="15"/>
      <c r="L36" s="15"/>
      <c r="M36" s="15"/>
      <c r="N36" s="15"/>
      <c r="O36" s="15"/>
      <c r="P36" s="15"/>
      <c r="Q36" s="15"/>
      <c r="R36" s="15"/>
      <c r="S36" s="15"/>
      <c r="T36" s="15"/>
    </row>
    <row r="37" spans="1:20" ht="19.5" customHeight="1" x14ac:dyDescent="0.35">
      <c r="A37" s="15"/>
      <c r="B37" s="15"/>
      <c r="C37" s="15"/>
      <c r="D37" s="15"/>
      <c r="E37" s="15"/>
      <c r="F37" s="15"/>
      <c r="G37" s="15"/>
      <c r="H37" s="15"/>
      <c r="I37" s="15"/>
      <c r="J37" s="15"/>
      <c r="K37" s="15"/>
      <c r="L37" s="15"/>
      <c r="M37" s="15"/>
      <c r="N37" s="15"/>
      <c r="O37" s="15"/>
      <c r="P37" s="15"/>
      <c r="Q37" s="15"/>
      <c r="R37" s="15"/>
      <c r="S37" s="15"/>
      <c r="T37" s="15"/>
    </row>
    <row r="38" spans="1:20" ht="19.5" customHeight="1" x14ac:dyDescent="0.35">
      <c r="A38" s="15"/>
      <c r="B38" s="15"/>
      <c r="C38" s="15"/>
      <c r="D38" s="15"/>
      <c r="E38" s="15"/>
      <c r="F38" s="15"/>
      <c r="G38" s="15"/>
      <c r="H38" s="15"/>
      <c r="I38" s="15"/>
      <c r="J38" s="15"/>
      <c r="K38" s="15"/>
      <c r="L38" s="15"/>
      <c r="M38" s="15"/>
      <c r="N38" s="15"/>
      <c r="O38" s="15"/>
      <c r="P38" s="15"/>
      <c r="Q38" s="15"/>
      <c r="R38" s="15"/>
      <c r="S38" s="15"/>
      <c r="T38" s="15"/>
    </row>
    <row r="39" spans="1:20" ht="19.5" customHeight="1" x14ac:dyDescent="0.35">
      <c r="A39" s="15"/>
      <c r="B39" s="15"/>
      <c r="C39" s="15"/>
      <c r="D39" s="15"/>
      <c r="E39" s="15"/>
      <c r="F39" s="15"/>
      <c r="G39" s="15"/>
      <c r="H39" s="15"/>
      <c r="I39" s="15"/>
      <c r="J39" s="15"/>
      <c r="K39" s="15"/>
      <c r="L39" s="15"/>
      <c r="M39" s="15"/>
      <c r="N39" s="15"/>
      <c r="O39" s="15"/>
      <c r="P39" s="15"/>
      <c r="Q39" s="15"/>
      <c r="R39" s="15"/>
      <c r="S39" s="15"/>
      <c r="T39" s="15"/>
    </row>
    <row r="40" spans="1:20" ht="19.5" customHeight="1" x14ac:dyDescent="0.35">
      <c r="A40" s="15"/>
      <c r="B40" s="15"/>
      <c r="C40" s="15"/>
      <c r="D40" s="15"/>
      <c r="E40" s="15"/>
      <c r="F40" s="15"/>
      <c r="G40" s="15"/>
      <c r="H40" s="15"/>
      <c r="I40" s="15"/>
      <c r="J40" s="15"/>
      <c r="K40" s="15"/>
      <c r="L40" s="15"/>
      <c r="M40" s="15"/>
      <c r="N40" s="15"/>
      <c r="O40" s="15"/>
      <c r="P40" s="15"/>
      <c r="Q40" s="15"/>
      <c r="R40" s="15"/>
      <c r="S40" s="15"/>
      <c r="T40" s="15"/>
    </row>
    <row r="41" spans="1:20" ht="19.5" customHeight="1" x14ac:dyDescent="0.35">
      <c r="A41" s="15"/>
      <c r="B41" s="15"/>
      <c r="C41" s="15"/>
      <c r="D41" s="15"/>
      <c r="E41" s="15"/>
      <c r="F41" s="15"/>
      <c r="G41" s="15"/>
      <c r="H41" s="15"/>
      <c r="I41" s="15"/>
      <c r="J41" s="15"/>
      <c r="K41" s="15"/>
      <c r="L41" s="15"/>
      <c r="M41" s="15"/>
      <c r="N41" s="15"/>
      <c r="O41" s="15"/>
      <c r="P41" s="15"/>
      <c r="Q41" s="15"/>
      <c r="R41" s="15"/>
      <c r="S41" s="15"/>
      <c r="T41" s="15"/>
    </row>
    <row r="42" spans="1:20" ht="19.5" customHeight="1" x14ac:dyDescent="0.35">
      <c r="A42" s="15"/>
      <c r="B42" s="15"/>
      <c r="C42" s="15"/>
      <c r="D42" s="15"/>
      <c r="E42" s="15"/>
      <c r="F42" s="15"/>
      <c r="G42" s="15"/>
      <c r="H42" s="15"/>
      <c r="I42" s="15"/>
      <c r="J42" s="15"/>
      <c r="K42" s="15"/>
      <c r="L42" s="15"/>
      <c r="M42" s="15"/>
      <c r="N42" s="15"/>
      <c r="O42" s="15"/>
      <c r="P42" s="15"/>
      <c r="Q42" s="15"/>
      <c r="R42" s="15"/>
      <c r="S42" s="15"/>
      <c r="T42" s="15"/>
    </row>
    <row r="43" spans="1:20" ht="19.5" customHeight="1" x14ac:dyDescent="0.35">
      <c r="A43" s="15"/>
      <c r="B43" s="15"/>
      <c r="C43" s="15"/>
      <c r="D43" s="15"/>
      <c r="E43" s="15"/>
      <c r="F43" s="15"/>
      <c r="G43" s="15"/>
      <c r="H43" s="15"/>
      <c r="I43" s="15"/>
      <c r="J43" s="15"/>
      <c r="K43" s="15"/>
      <c r="L43" s="15"/>
      <c r="M43" s="15"/>
      <c r="N43" s="15"/>
      <c r="O43" s="15"/>
      <c r="P43" s="15"/>
      <c r="Q43" s="15"/>
      <c r="R43" s="15"/>
      <c r="S43" s="15"/>
      <c r="T43" s="15"/>
    </row>
    <row r="44" spans="1:20" ht="19.5" customHeight="1" x14ac:dyDescent="0.35">
      <c r="A44" s="15"/>
      <c r="B44" s="15"/>
      <c r="C44" s="15"/>
      <c r="D44" s="15"/>
      <c r="E44" s="15"/>
      <c r="F44" s="15"/>
      <c r="G44" s="15"/>
      <c r="H44" s="15"/>
      <c r="I44" s="15"/>
      <c r="J44" s="15"/>
      <c r="K44" s="15"/>
      <c r="L44" s="15"/>
      <c r="M44" s="15"/>
      <c r="N44" s="15"/>
      <c r="O44" s="15"/>
      <c r="P44" s="15"/>
      <c r="Q44" s="15"/>
      <c r="R44" s="15"/>
      <c r="S44" s="15"/>
      <c r="T44" s="15"/>
    </row>
    <row r="45" spans="1:20" ht="19.5" customHeight="1" x14ac:dyDescent="0.35">
      <c r="A45" s="15"/>
      <c r="B45" s="15"/>
      <c r="C45" s="15"/>
      <c r="D45" s="15"/>
      <c r="E45" s="15"/>
      <c r="F45" s="15"/>
      <c r="G45" s="15"/>
      <c r="H45" s="15"/>
      <c r="I45" s="15"/>
      <c r="J45" s="15"/>
      <c r="K45" s="15"/>
      <c r="L45" s="15"/>
      <c r="M45" s="15"/>
      <c r="N45" s="15"/>
      <c r="O45" s="15"/>
      <c r="P45" s="15"/>
      <c r="Q45" s="15"/>
      <c r="R45" s="15"/>
      <c r="S45" s="15"/>
      <c r="T45" s="15"/>
    </row>
    <row r="46" spans="1:20" ht="19.5" customHeight="1" x14ac:dyDescent="0.35">
      <c r="A46" s="15"/>
      <c r="B46" s="15"/>
      <c r="C46" s="15"/>
      <c r="D46" s="15"/>
      <c r="E46" s="15"/>
      <c r="F46" s="15"/>
      <c r="G46" s="15"/>
      <c r="H46" s="15"/>
      <c r="I46" s="15"/>
      <c r="J46" s="15"/>
      <c r="K46" s="15"/>
      <c r="L46" s="15"/>
      <c r="M46" s="15"/>
      <c r="N46" s="15"/>
      <c r="O46" s="15"/>
      <c r="P46" s="15"/>
      <c r="Q46" s="15"/>
      <c r="R46" s="15"/>
      <c r="S46" s="15"/>
      <c r="T46" s="15"/>
    </row>
    <row r="47" spans="1:20" ht="19.5" customHeight="1" x14ac:dyDescent="0.35">
      <c r="A47" s="15"/>
      <c r="B47" s="15"/>
      <c r="C47" s="15"/>
      <c r="D47" s="15"/>
      <c r="E47" s="15"/>
      <c r="F47" s="15"/>
      <c r="G47" s="15"/>
      <c r="H47" s="15"/>
      <c r="I47" s="15"/>
      <c r="J47" s="15"/>
      <c r="K47" s="15"/>
      <c r="L47" s="15"/>
      <c r="M47" s="15"/>
      <c r="N47" s="15"/>
      <c r="O47" s="15"/>
      <c r="P47" s="15"/>
      <c r="Q47" s="15"/>
      <c r="R47" s="15"/>
      <c r="S47" s="15"/>
      <c r="T47" s="15"/>
    </row>
    <row r="48" spans="1:20" ht="19.5" customHeight="1" x14ac:dyDescent="0.35">
      <c r="A48" s="15"/>
      <c r="B48" s="15"/>
      <c r="C48" s="15"/>
      <c r="D48" s="15"/>
      <c r="E48" s="15"/>
      <c r="F48" s="15"/>
      <c r="G48" s="15"/>
      <c r="H48" s="15"/>
      <c r="I48" s="15"/>
      <c r="J48" s="15"/>
      <c r="K48" s="15"/>
      <c r="L48" s="15"/>
      <c r="M48" s="15"/>
      <c r="N48" s="15"/>
      <c r="O48" s="15"/>
      <c r="P48" s="15"/>
      <c r="Q48" s="15"/>
      <c r="R48" s="15"/>
      <c r="S48" s="15"/>
      <c r="T48" s="15"/>
    </row>
    <row r="49" spans="1:20" ht="19.5" customHeight="1" x14ac:dyDescent="0.35">
      <c r="A49" s="15"/>
      <c r="B49" s="15"/>
      <c r="C49" s="15"/>
      <c r="D49" s="15"/>
      <c r="E49" s="15"/>
      <c r="F49" s="15"/>
      <c r="G49" s="15"/>
      <c r="H49" s="15"/>
      <c r="I49" s="15"/>
      <c r="J49" s="15"/>
      <c r="K49" s="15"/>
      <c r="L49" s="15"/>
      <c r="M49" s="15"/>
      <c r="N49" s="15"/>
      <c r="O49" s="15"/>
      <c r="P49" s="15"/>
      <c r="Q49" s="15"/>
      <c r="R49" s="15"/>
      <c r="S49" s="15"/>
      <c r="T49" s="15"/>
    </row>
    <row r="50" spans="1:20" ht="19.5" customHeight="1" x14ac:dyDescent="0.35">
      <c r="A50" s="15"/>
      <c r="B50" s="15"/>
      <c r="C50" s="15"/>
      <c r="D50" s="15"/>
      <c r="E50" s="15"/>
      <c r="F50" s="15"/>
      <c r="G50" s="15"/>
      <c r="H50" s="15"/>
      <c r="I50" s="15"/>
      <c r="J50" s="15"/>
      <c r="K50" s="15"/>
      <c r="L50" s="15"/>
      <c r="M50" s="15"/>
      <c r="N50" s="15"/>
      <c r="O50" s="15"/>
      <c r="P50" s="15"/>
      <c r="Q50" s="15"/>
      <c r="R50" s="15"/>
      <c r="S50" s="15"/>
      <c r="T50" s="15"/>
    </row>
    <row r="51" spans="1:20" ht="19.5" customHeight="1" x14ac:dyDescent="0.35">
      <c r="A51" s="15"/>
      <c r="B51" s="15"/>
      <c r="C51" s="15"/>
      <c r="D51" s="15"/>
      <c r="E51" s="15"/>
      <c r="F51" s="15"/>
      <c r="G51" s="15"/>
      <c r="H51" s="15"/>
      <c r="I51" s="15"/>
      <c r="J51" s="15"/>
      <c r="K51" s="15"/>
      <c r="L51" s="15"/>
      <c r="M51" s="15"/>
      <c r="N51" s="15"/>
      <c r="O51" s="15"/>
      <c r="P51" s="15"/>
      <c r="Q51" s="15"/>
      <c r="R51" s="15"/>
      <c r="S51" s="15"/>
      <c r="T51" s="15"/>
    </row>
    <row r="52" spans="1:20" ht="19.5" customHeight="1" x14ac:dyDescent="0.35">
      <c r="A52" s="15"/>
      <c r="B52" s="15"/>
      <c r="C52" s="15"/>
      <c r="D52" s="15"/>
      <c r="E52" s="15"/>
      <c r="F52" s="15"/>
      <c r="G52" s="15"/>
      <c r="H52" s="15"/>
      <c r="I52" s="15"/>
      <c r="J52" s="15"/>
      <c r="K52" s="15"/>
      <c r="L52" s="15"/>
      <c r="M52" s="15"/>
      <c r="N52" s="15"/>
      <c r="O52" s="15"/>
      <c r="P52" s="15"/>
      <c r="Q52" s="15"/>
      <c r="R52" s="15"/>
      <c r="S52" s="15"/>
      <c r="T52" s="15"/>
    </row>
    <row r="53" spans="1:20" ht="19.5" customHeight="1" x14ac:dyDescent="0.35">
      <c r="A53" s="15"/>
      <c r="B53" s="15"/>
      <c r="C53" s="15"/>
      <c r="D53" s="15"/>
      <c r="E53" s="15"/>
      <c r="F53" s="15"/>
      <c r="G53" s="15"/>
      <c r="H53" s="15"/>
      <c r="I53" s="15"/>
      <c r="J53" s="15"/>
      <c r="K53" s="15"/>
      <c r="L53" s="15"/>
      <c r="M53" s="15"/>
      <c r="N53" s="15"/>
      <c r="O53" s="15"/>
      <c r="P53" s="15"/>
      <c r="Q53" s="15"/>
      <c r="R53" s="15"/>
      <c r="S53" s="15"/>
      <c r="T53" s="15"/>
    </row>
    <row r="54" spans="1:20" ht="19.5" customHeight="1" x14ac:dyDescent="0.35">
      <c r="A54" s="15"/>
      <c r="B54" s="15"/>
      <c r="C54" s="15"/>
      <c r="D54" s="15"/>
      <c r="E54" s="15"/>
      <c r="F54" s="15"/>
      <c r="G54" s="15"/>
      <c r="H54" s="15"/>
      <c r="I54" s="15"/>
      <c r="J54" s="15"/>
      <c r="K54" s="15"/>
      <c r="L54" s="15"/>
      <c r="M54" s="15"/>
      <c r="N54" s="15"/>
      <c r="O54" s="15"/>
      <c r="P54" s="15"/>
      <c r="Q54" s="15"/>
      <c r="R54" s="15"/>
      <c r="S54" s="15"/>
      <c r="T54" s="15"/>
    </row>
    <row r="55" spans="1:20" ht="19.5" customHeight="1" x14ac:dyDescent="0.35">
      <c r="A55" s="15"/>
      <c r="B55" s="15"/>
      <c r="C55" s="15"/>
      <c r="D55" s="15"/>
      <c r="E55" s="15"/>
      <c r="F55" s="15"/>
      <c r="G55" s="15"/>
      <c r="H55" s="15"/>
      <c r="I55" s="15"/>
      <c r="J55" s="15"/>
      <c r="K55" s="15"/>
      <c r="L55" s="15"/>
      <c r="M55" s="15"/>
      <c r="N55" s="15"/>
      <c r="O55" s="15"/>
      <c r="P55" s="15"/>
      <c r="Q55" s="15"/>
      <c r="R55" s="15"/>
      <c r="S55" s="15"/>
      <c r="T55" s="15"/>
    </row>
    <row r="56" spans="1:20" ht="19.5" customHeight="1" x14ac:dyDescent="0.35">
      <c r="A56" s="15"/>
      <c r="B56" s="15"/>
      <c r="C56" s="15"/>
      <c r="D56" s="15"/>
      <c r="E56" s="15"/>
      <c r="F56" s="15"/>
      <c r="G56" s="15"/>
      <c r="H56" s="15"/>
      <c r="I56" s="15"/>
      <c r="J56" s="15"/>
      <c r="K56" s="15"/>
      <c r="L56" s="15"/>
      <c r="M56" s="15"/>
      <c r="N56" s="15"/>
      <c r="O56" s="15"/>
      <c r="P56" s="15"/>
      <c r="Q56" s="15"/>
      <c r="R56" s="15"/>
      <c r="S56" s="15"/>
      <c r="T56" s="15"/>
    </row>
    <row r="57" spans="1:20" ht="19.5" customHeight="1" x14ac:dyDescent="0.35">
      <c r="A57" s="15"/>
      <c r="B57" s="15"/>
      <c r="C57" s="15"/>
      <c r="D57" s="15"/>
      <c r="E57" s="15"/>
      <c r="F57" s="15"/>
      <c r="G57" s="15"/>
      <c r="H57" s="15"/>
      <c r="I57" s="15"/>
      <c r="J57" s="15"/>
      <c r="K57" s="15"/>
      <c r="L57" s="15"/>
      <c r="M57" s="15"/>
      <c r="N57" s="15"/>
      <c r="O57" s="15"/>
      <c r="P57" s="15"/>
      <c r="Q57" s="15"/>
      <c r="R57" s="15"/>
      <c r="S57" s="15"/>
      <c r="T57" s="15"/>
    </row>
    <row r="58" spans="1:20" ht="19.5" customHeight="1" x14ac:dyDescent="0.35">
      <c r="A58" s="15"/>
      <c r="B58" s="15"/>
      <c r="C58" s="15"/>
      <c r="D58" s="15"/>
      <c r="E58" s="15"/>
      <c r="F58" s="15"/>
      <c r="G58" s="15"/>
      <c r="H58" s="15"/>
      <c r="I58" s="15"/>
      <c r="J58" s="15"/>
      <c r="K58" s="15"/>
      <c r="L58" s="15"/>
      <c r="M58" s="15"/>
      <c r="N58" s="15"/>
      <c r="O58" s="15"/>
      <c r="P58" s="15"/>
      <c r="Q58" s="15"/>
      <c r="R58" s="15"/>
      <c r="S58" s="15"/>
      <c r="T58" s="15"/>
    </row>
    <row r="59" spans="1:20" ht="19.5" customHeight="1" x14ac:dyDescent="0.35">
      <c r="A59" s="15"/>
      <c r="B59" s="15"/>
      <c r="C59" s="15"/>
      <c r="D59" s="15"/>
      <c r="E59" s="15"/>
      <c r="F59" s="15"/>
      <c r="G59" s="15"/>
      <c r="H59" s="15"/>
      <c r="I59" s="15"/>
      <c r="J59" s="15"/>
      <c r="K59" s="15"/>
      <c r="L59" s="15"/>
      <c r="M59" s="15"/>
      <c r="N59" s="15"/>
      <c r="O59" s="15"/>
      <c r="P59" s="15"/>
      <c r="Q59" s="15"/>
      <c r="R59" s="15"/>
      <c r="S59" s="15"/>
      <c r="T59" s="15"/>
    </row>
    <row r="60" spans="1:20" ht="19.5" customHeight="1" x14ac:dyDescent="0.35">
      <c r="A60" s="15"/>
      <c r="B60" s="15"/>
      <c r="C60" s="15"/>
      <c r="D60" s="15"/>
      <c r="E60" s="15"/>
      <c r="F60" s="15"/>
      <c r="G60" s="15"/>
      <c r="H60" s="15"/>
      <c r="I60" s="15"/>
      <c r="J60" s="15"/>
      <c r="K60" s="15"/>
      <c r="L60" s="15"/>
      <c r="M60" s="15"/>
      <c r="N60" s="15"/>
      <c r="O60" s="15"/>
      <c r="P60" s="15"/>
      <c r="Q60" s="15"/>
      <c r="R60" s="15"/>
      <c r="S60" s="15"/>
      <c r="T60" s="15"/>
    </row>
    <row r="61" spans="1:20" ht="19.5" customHeight="1" x14ac:dyDescent="0.35">
      <c r="A61" s="15"/>
      <c r="B61" s="15"/>
      <c r="C61" s="15"/>
      <c r="D61" s="15"/>
      <c r="E61" s="15"/>
      <c r="F61" s="15"/>
      <c r="G61" s="15"/>
      <c r="H61" s="15"/>
      <c r="I61" s="15"/>
      <c r="J61" s="15"/>
      <c r="K61" s="15"/>
      <c r="L61" s="15"/>
      <c r="M61" s="15"/>
      <c r="N61" s="15"/>
      <c r="O61" s="15"/>
      <c r="P61" s="15"/>
      <c r="Q61" s="15"/>
      <c r="R61" s="15"/>
      <c r="S61" s="15"/>
      <c r="T61" s="15"/>
    </row>
    <row r="62" spans="1:20" ht="19.5" customHeight="1" x14ac:dyDescent="0.35">
      <c r="A62" s="15"/>
      <c r="B62" s="15"/>
      <c r="C62" s="15"/>
      <c r="D62" s="15"/>
      <c r="E62" s="15"/>
      <c r="F62" s="15"/>
      <c r="G62" s="15"/>
      <c r="H62" s="15"/>
      <c r="I62" s="15"/>
      <c r="J62" s="15"/>
      <c r="K62" s="15"/>
      <c r="L62" s="15"/>
      <c r="M62" s="15"/>
      <c r="N62" s="15"/>
      <c r="O62" s="15"/>
      <c r="P62" s="15"/>
      <c r="Q62" s="15"/>
      <c r="R62" s="15"/>
      <c r="S62" s="15"/>
      <c r="T62" s="15"/>
    </row>
    <row r="63" spans="1:20" ht="19.5" customHeight="1" x14ac:dyDescent="0.35">
      <c r="A63" s="15"/>
      <c r="B63" s="15"/>
      <c r="C63" s="15"/>
      <c r="D63" s="15"/>
      <c r="E63" s="15"/>
      <c r="F63" s="15"/>
      <c r="G63" s="15"/>
      <c r="H63" s="15"/>
      <c r="I63" s="15"/>
      <c r="J63" s="15"/>
      <c r="K63" s="15"/>
      <c r="L63" s="15"/>
      <c r="M63" s="15"/>
      <c r="N63" s="15"/>
      <c r="O63" s="15"/>
      <c r="P63" s="15"/>
      <c r="Q63" s="15"/>
      <c r="R63" s="15"/>
      <c r="S63" s="15"/>
      <c r="T63" s="15"/>
    </row>
    <row r="64" spans="1:20" ht="19.5" customHeight="1" x14ac:dyDescent="0.35">
      <c r="A64" s="15"/>
      <c r="B64" s="15"/>
      <c r="C64" s="15"/>
      <c r="D64" s="15"/>
      <c r="E64" s="15"/>
      <c r="F64" s="15"/>
      <c r="G64" s="15"/>
      <c r="H64" s="15"/>
      <c r="I64" s="15"/>
      <c r="J64" s="15"/>
      <c r="K64" s="15"/>
      <c r="L64" s="15"/>
      <c r="M64" s="15"/>
      <c r="N64" s="15"/>
      <c r="O64" s="15"/>
      <c r="P64" s="15"/>
      <c r="Q64" s="15"/>
      <c r="R64" s="15"/>
      <c r="S64" s="15"/>
      <c r="T64" s="15"/>
    </row>
    <row r="65" spans="1:20" ht="19.5" customHeight="1" x14ac:dyDescent="0.35">
      <c r="A65" s="15"/>
      <c r="B65" s="15"/>
      <c r="C65" s="15"/>
      <c r="D65" s="15"/>
      <c r="E65" s="15"/>
      <c r="F65" s="15"/>
      <c r="G65" s="15"/>
      <c r="H65" s="15"/>
      <c r="I65" s="15"/>
      <c r="J65" s="15"/>
      <c r="K65" s="15"/>
      <c r="L65" s="15"/>
      <c r="M65" s="15"/>
      <c r="N65" s="15"/>
      <c r="O65" s="15"/>
      <c r="P65" s="15"/>
      <c r="Q65" s="15"/>
      <c r="R65" s="15"/>
      <c r="S65" s="15"/>
      <c r="T65" s="15"/>
    </row>
    <row r="66" spans="1:20" ht="19.5" customHeight="1" x14ac:dyDescent="0.35">
      <c r="A66" s="15"/>
      <c r="B66" s="15"/>
      <c r="C66" s="15"/>
      <c r="D66" s="15"/>
      <c r="E66" s="15"/>
      <c r="F66" s="15"/>
      <c r="G66" s="15"/>
      <c r="H66" s="15"/>
      <c r="I66" s="15"/>
      <c r="J66" s="15"/>
      <c r="K66" s="15"/>
      <c r="L66" s="15"/>
      <c r="M66" s="15"/>
      <c r="N66" s="15"/>
      <c r="O66" s="15"/>
      <c r="P66" s="15"/>
      <c r="Q66" s="15"/>
      <c r="R66" s="15"/>
      <c r="S66" s="15"/>
      <c r="T66" s="15"/>
    </row>
    <row r="67" spans="1:20" ht="19.5" customHeight="1" x14ac:dyDescent="0.35">
      <c r="A67" s="15"/>
      <c r="B67" s="15"/>
      <c r="C67" s="15"/>
      <c r="D67" s="15"/>
      <c r="E67" s="15"/>
      <c r="F67" s="15"/>
      <c r="G67" s="15"/>
      <c r="H67" s="15"/>
      <c r="I67" s="15"/>
      <c r="J67" s="15"/>
      <c r="K67" s="15"/>
      <c r="L67" s="15"/>
      <c r="M67" s="15"/>
      <c r="N67" s="15"/>
      <c r="O67" s="15"/>
      <c r="P67" s="15"/>
      <c r="Q67" s="15"/>
      <c r="R67" s="15"/>
      <c r="S67" s="15"/>
      <c r="T67" s="15"/>
    </row>
    <row r="68" spans="1:20" ht="19.5" customHeight="1" x14ac:dyDescent="0.35">
      <c r="A68" s="15"/>
      <c r="B68" s="15"/>
      <c r="C68" s="15"/>
      <c r="D68" s="15"/>
      <c r="E68" s="15"/>
      <c r="F68" s="15"/>
      <c r="G68" s="15"/>
      <c r="H68" s="15"/>
      <c r="I68" s="15"/>
      <c r="J68" s="15"/>
      <c r="K68" s="15"/>
      <c r="L68" s="15"/>
      <c r="M68" s="15"/>
      <c r="N68" s="15"/>
      <c r="O68" s="15"/>
      <c r="P68" s="15"/>
      <c r="Q68" s="15"/>
      <c r="R68" s="15"/>
      <c r="S68" s="15"/>
      <c r="T68" s="15"/>
    </row>
    <row r="69" spans="1:20" ht="19.5" customHeight="1" x14ac:dyDescent="0.35">
      <c r="A69" s="15"/>
      <c r="B69" s="15"/>
      <c r="C69" s="15"/>
      <c r="D69" s="15"/>
      <c r="E69" s="15"/>
      <c r="F69" s="15"/>
      <c r="G69" s="15"/>
      <c r="H69" s="15"/>
      <c r="I69" s="15"/>
      <c r="J69" s="15"/>
      <c r="K69" s="15"/>
      <c r="L69" s="15"/>
      <c r="M69" s="15"/>
      <c r="N69" s="15"/>
      <c r="O69" s="15"/>
      <c r="P69" s="15"/>
      <c r="Q69" s="15"/>
      <c r="R69" s="15"/>
      <c r="S69" s="15"/>
      <c r="T69" s="15"/>
    </row>
    <row r="70" spans="1:20" ht="19.5" customHeight="1" x14ac:dyDescent="0.35">
      <c r="A70" s="15"/>
      <c r="B70" s="15"/>
      <c r="C70" s="15"/>
      <c r="D70" s="15"/>
      <c r="E70" s="15"/>
      <c r="F70" s="15"/>
      <c r="G70" s="15"/>
      <c r="H70" s="15"/>
      <c r="I70" s="15"/>
      <c r="J70" s="15"/>
      <c r="K70" s="15"/>
      <c r="L70" s="15"/>
      <c r="M70" s="15"/>
      <c r="N70" s="15"/>
      <c r="O70" s="15"/>
      <c r="P70" s="15"/>
      <c r="Q70" s="15"/>
      <c r="R70" s="15"/>
      <c r="S70" s="15"/>
      <c r="T70" s="15"/>
    </row>
    <row r="71" spans="1:20" ht="19.5" customHeight="1" x14ac:dyDescent="0.35">
      <c r="A71" s="15"/>
      <c r="B71" s="15"/>
      <c r="C71" s="15"/>
      <c r="D71" s="15"/>
      <c r="E71" s="15"/>
      <c r="F71" s="15"/>
      <c r="G71" s="15"/>
      <c r="H71" s="15"/>
      <c r="I71" s="15"/>
      <c r="J71" s="15"/>
      <c r="K71" s="15"/>
      <c r="L71" s="15"/>
      <c r="M71" s="15"/>
      <c r="N71" s="15"/>
      <c r="O71" s="15"/>
      <c r="P71" s="15"/>
      <c r="Q71" s="15"/>
      <c r="R71" s="15"/>
      <c r="S71" s="15"/>
      <c r="T71" s="15"/>
    </row>
    <row r="72" spans="1:20" ht="19.5" customHeight="1" x14ac:dyDescent="0.35">
      <c r="A72" s="15"/>
      <c r="B72" s="15"/>
      <c r="C72" s="15"/>
      <c r="D72" s="15"/>
      <c r="E72" s="15"/>
      <c r="F72" s="15"/>
      <c r="G72" s="15"/>
      <c r="H72" s="15"/>
      <c r="I72" s="15"/>
      <c r="J72" s="15"/>
      <c r="K72" s="15"/>
      <c r="L72" s="15"/>
      <c r="M72" s="15"/>
      <c r="N72" s="15"/>
      <c r="O72" s="15"/>
      <c r="P72" s="15"/>
      <c r="Q72" s="15"/>
      <c r="R72" s="15"/>
      <c r="S72" s="15"/>
      <c r="T72" s="15"/>
    </row>
    <row r="73" spans="1:20" ht="19.5" customHeight="1" x14ac:dyDescent="0.35">
      <c r="A73" s="15"/>
      <c r="B73" s="15"/>
      <c r="C73" s="15"/>
      <c r="D73" s="15"/>
      <c r="E73" s="15"/>
      <c r="F73" s="15"/>
      <c r="G73" s="15"/>
      <c r="H73" s="15"/>
      <c r="I73" s="15"/>
      <c r="J73" s="15"/>
      <c r="K73" s="15"/>
      <c r="L73" s="15"/>
      <c r="M73" s="15"/>
      <c r="N73" s="15"/>
      <c r="O73" s="15"/>
      <c r="P73" s="15"/>
      <c r="Q73" s="15"/>
      <c r="R73" s="15"/>
      <c r="S73" s="15"/>
      <c r="T73" s="15"/>
    </row>
    <row r="74" spans="1:20" ht="19.5" customHeight="1" x14ac:dyDescent="0.35">
      <c r="A74" s="15"/>
      <c r="B74" s="15"/>
      <c r="C74" s="15"/>
      <c r="D74" s="15"/>
      <c r="E74" s="15"/>
      <c r="F74" s="15"/>
      <c r="G74" s="15"/>
      <c r="H74" s="15"/>
      <c r="I74" s="15"/>
      <c r="J74" s="15"/>
      <c r="K74" s="15"/>
      <c r="L74" s="15"/>
      <c r="M74" s="15"/>
      <c r="N74" s="15"/>
      <c r="O74" s="15"/>
      <c r="P74" s="15"/>
      <c r="Q74" s="15"/>
      <c r="R74" s="15"/>
      <c r="S74" s="15"/>
      <c r="T74" s="15"/>
    </row>
    <row r="75" spans="1:20" ht="19.5" customHeight="1" x14ac:dyDescent="0.35">
      <c r="A75" s="15"/>
      <c r="B75" s="15"/>
      <c r="C75" s="15"/>
      <c r="D75" s="15"/>
      <c r="E75" s="15"/>
      <c r="F75" s="15"/>
      <c r="G75" s="15"/>
      <c r="H75" s="15"/>
      <c r="I75" s="15"/>
      <c r="J75" s="15"/>
      <c r="K75" s="15"/>
      <c r="L75" s="15"/>
      <c r="M75" s="15"/>
      <c r="N75" s="15"/>
      <c r="O75" s="15"/>
      <c r="P75" s="15"/>
      <c r="Q75" s="15"/>
      <c r="R75" s="15"/>
      <c r="S75" s="15"/>
      <c r="T75" s="15"/>
    </row>
    <row r="76" spans="1:20" ht="19.5" customHeight="1" x14ac:dyDescent="0.35">
      <c r="A76" s="15"/>
      <c r="B76" s="15"/>
      <c r="C76" s="15"/>
      <c r="D76" s="15"/>
      <c r="E76" s="15"/>
      <c r="F76" s="15"/>
      <c r="G76" s="15"/>
      <c r="H76" s="15"/>
      <c r="I76" s="15"/>
      <c r="J76" s="15"/>
      <c r="K76" s="15"/>
      <c r="L76" s="15"/>
      <c r="M76" s="15"/>
      <c r="N76" s="15"/>
      <c r="O76" s="15"/>
      <c r="P76" s="15"/>
      <c r="Q76" s="15"/>
      <c r="R76" s="15"/>
      <c r="S76" s="15"/>
      <c r="T76" s="15"/>
    </row>
    <row r="77" spans="1:20" ht="19.5" customHeight="1" x14ac:dyDescent="0.35">
      <c r="A77" s="15"/>
      <c r="B77" s="15"/>
      <c r="C77" s="15"/>
      <c r="D77" s="15"/>
      <c r="E77" s="15"/>
      <c r="F77" s="15"/>
      <c r="G77" s="15"/>
      <c r="H77" s="15"/>
      <c r="I77" s="15"/>
      <c r="J77" s="15"/>
      <c r="K77" s="15"/>
      <c r="L77" s="15"/>
      <c r="M77" s="15"/>
      <c r="N77" s="15"/>
      <c r="O77" s="15"/>
      <c r="P77" s="15"/>
      <c r="Q77" s="15"/>
      <c r="R77" s="15"/>
      <c r="S77" s="15"/>
      <c r="T77" s="15"/>
    </row>
    <row r="78" spans="1:20" ht="19.5" customHeight="1" x14ac:dyDescent="0.35">
      <c r="A78" s="15"/>
      <c r="B78" s="15"/>
      <c r="C78" s="15"/>
      <c r="D78" s="15"/>
      <c r="E78" s="15"/>
      <c r="F78" s="15"/>
      <c r="G78" s="15"/>
      <c r="H78" s="15"/>
      <c r="I78" s="15"/>
      <c r="J78" s="15"/>
      <c r="K78" s="15"/>
      <c r="L78" s="15"/>
      <c r="M78" s="15"/>
      <c r="N78" s="15"/>
      <c r="O78" s="15"/>
      <c r="P78" s="15"/>
      <c r="Q78" s="15"/>
      <c r="R78" s="15"/>
      <c r="S78" s="15"/>
      <c r="T78" s="15"/>
    </row>
    <row r="79" spans="1:20" ht="19.5" customHeight="1" x14ac:dyDescent="0.35">
      <c r="A79" s="15"/>
      <c r="B79" s="15"/>
      <c r="C79" s="15"/>
      <c r="D79" s="15"/>
      <c r="E79" s="15"/>
      <c r="F79" s="15"/>
      <c r="G79" s="15"/>
      <c r="H79" s="15"/>
      <c r="I79" s="15"/>
      <c r="J79" s="15"/>
      <c r="K79" s="15"/>
      <c r="L79" s="15"/>
      <c r="M79" s="15"/>
      <c r="N79" s="15"/>
      <c r="O79" s="15"/>
      <c r="P79" s="15"/>
      <c r="Q79" s="15"/>
      <c r="R79" s="15"/>
      <c r="S79" s="15"/>
      <c r="T79" s="15"/>
    </row>
    <row r="80" spans="1:20" ht="19.5" customHeight="1" x14ac:dyDescent="0.35">
      <c r="A80" s="15"/>
      <c r="B80" s="15"/>
      <c r="C80" s="15"/>
      <c r="D80" s="15"/>
      <c r="E80" s="15"/>
      <c r="F80" s="15"/>
      <c r="G80" s="15"/>
      <c r="H80" s="15"/>
      <c r="I80" s="15"/>
      <c r="J80" s="15"/>
      <c r="K80" s="15"/>
      <c r="L80" s="15"/>
      <c r="M80" s="15"/>
      <c r="N80" s="15"/>
      <c r="O80" s="15"/>
      <c r="P80" s="15"/>
      <c r="Q80" s="15"/>
      <c r="R80" s="15"/>
      <c r="S80" s="15"/>
      <c r="T80" s="15"/>
    </row>
    <row r="81" spans="1:20" ht="19.5" customHeight="1" x14ac:dyDescent="0.35">
      <c r="A81" s="15"/>
      <c r="B81" s="15"/>
      <c r="C81" s="15"/>
      <c r="D81" s="15"/>
      <c r="E81" s="15"/>
      <c r="F81" s="15"/>
      <c r="G81" s="15"/>
      <c r="H81" s="15"/>
      <c r="I81" s="15"/>
      <c r="J81" s="15"/>
      <c r="K81" s="15"/>
      <c r="L81" s="15"/>
      <c r="M81" s="15"/>
      <c r="N81" s="15"/>
      <c r="O81" s="15"/>
      <c r="P81" s="15"/>
      <c r="Q81" s="15"/>
      <c r="R81" s="15"/>
      <c r="S81" s="15"/>
      <c r="T81" s="15"/>
    </row>
    <row r="82" spans="1:20" ht="19.5" customHeight="1" x14ac:dyDescent="0.35">
      <c r="A82" s="15"/>
      <c r="B82" s="15"/>
      <c r="C82" s="15"/>
      <c r="D82" s="15"/>
      <c r="E82" s="15"/>
      <c r="F82" s="15"/>
      <c r="G82" s="15"/>
      <c r="H82" s="15"/>
      <c r="I82" s="15"/>
      <c r="J82" s="15"/>
      <c r="K82" s="15"/>
      <c r="L82" s="15"/>
      <c r="M82" s="15"/>
      <c r="N82" s="15"/>
      <c r="O82" s="15"/>
      <c r="P82" s="15"/>
      <c r="Q82" s="15"/>
      <c r="R82" s="15"/>
      <c r="S82" s="15"/>
      <c r="T82" s="15"/>
    </row>
    <row r="83" spans="1:20" ht="19.5" customHeight="1" x14ac:dyDescent="0.35">
      <c r="A83" s="15"/>
      <c r="B83" s="15"/>
      <c r="C83" s="15"/>
      <c r="D83" s="15"/>
      <c r="E83" s="15"/>
      <c r="F83" s="15"/>
      <c r="G83" s="15"/>
      <c r="H83" s="15"/>
      <c r="I83" s="15"/>
      <c r="J83" s="15"/>
      <c r="K83" s="15"/>
      <c r="L83" s="15"/>
      <c r="M83" s="15"/>
      <c r="N83" s="15"/>
      <c r="O83" s="15"/>
      <c r="P83" s="15"/>
      <c r="Q83" s="15"/>
      <c r="R83" s="15"/>
      <c r="S83" s="15"/>
      <c r="T83" s="15"/>
    </row>
    <row r="84" spans="1:20" ht="19.5" customHeight="1" x14ac:dyDescent="0.35">
      <c r="A84" s="15"/>
      <c r="B84" s="15"/>
      <c r="C84" s="15"/>
      <c r="D84" s="15"/>
      <c r="E84" s="15"/>
      <c r="F84" s="15"/>
      <c r="G84" s="15"/>
      <c r="H84" s="15"/>
      <c r="I84" s="15"/>
      <c r="J84" s="15"/>
      <c r="K84" s="15"/>
      <c r="L84" s="15"/>
      <c r="M84" s="15"/>
      <c r="N84" s="15"/>
      <c r="O84" s="15"/>
      <c r="P84" s="15"/>
      <c r="Q84" s="15"/>
      <c r="R84" s="15"/>
      <c r="S84" s="15"/>
      <c r="T84" s="15"/>
    </row>
    <row r="85" spans="1:20" ht="19.5" customHeight="1" x14ac:dyDescent="0.35">
      <c r="A85" s="15"/>
      <c r="B85" s="15"/>
      <c r="C85" s="15"/>
      <c r="D85" s="15"/>
      <c r="E85" s="15"/>
      <c r="F85" s="15"/>
      <c r="G85" s="15"/>
      <c r="H85" s="15"/>
      <c r="I85" s="15"/>
      <c r="J85" s="15"/>
      <c r="K85" s="15"/>
      <c r="L85" s="15"/>
      <c r="M85" s="15"/>
      <c r="N85" s="15"/>
      <c r="O85" s="15"/>
      <c r="P85" s="15"/>
      <c r="Q85" s="15"/>
      <c r="R85" s="15"/>
      <c r="S85" s="15"/>
      <c r="T85" s="15"/>
    </row>
    <row r="86" spans="1:20" ht="19.5" customHeight="1" x14ac:dyDescent="0.35">
      <c r="A86" s="15"/>
      <c r="B86" s="15"/>
      <c r="C86" s="15"/>
      <c r="D86" s="15"/>
      <c r="E86" s="15"/>
      <c r="F86" s="15"/>
      <c r="G86" s="15"/>
      <c r="H86" s="15"/>
      <c r="I86" s="15"/>
      <c r="J86" s="15"/>
      <c r="K86" s="15"/>
      <c r="L86" s="15"/>
      <c r="M86" s="15"/>
      <c r="N86" s="15"/>
      <c r="O86" s="15"/>
      <c r="P86" s="15"/>
      <c r="Q86" s="15"/>
      <c r="R86" s="15"/>
      <c r="S86" s="15"/>
      <c r="T86" s="15"/>
    </row>
    <row r="87" spans="1:20" ht="19.5" customHeight="1" x14ac:dyDescent="0.35">
      <c r="A87" s="15"/>
      <c r="B87" s="15"/>
      <c r="C87" s="15"/>
      <c r="D87" s="15"/>
      <c r="E87" s="15"/>
      <c r="F87" s="15"/>
      <c r="G87" s="15"/>
      <c r="H87" s="15"/>
      <c r="I87" s="15"/>
      <c r="J87" s="15"/>
      <c r="K87" s="15"/>
      <c r="L87" s="15"/>
      <c r="M87" s="15"/>
      <c r="N87" s="15"/>
      <c r="O87" s="15"/>
      <c r="P87" s="15"/>
      <c r="Q87" s="15"/>
      <c r="R87" s="15"/>
      <c r="S87" s="15"/>
      <c r="T87" s="15"/>
    </row>
    <row r="88" spans="1:20" ht="19.5" customHeight="1" x14ac:dyDescent="0.35">
      <c r="A88" s="15"/>
      <c r="B88" s="15"/>
      <c r="C88" s="15"/>
      <c r="D88" s="15"/>
      <c r="E88" s="15"/>
      <c r="F88" s="15"/>
      <c r="G88" s="15"/>
      <c r="H88" s="15"/>
      <c r="I88" s="15"/>
      <c r="J88" s="15"/>
      <c r="K88" s="15"/>
      <c r="L88" s="15"/>
      <c r="M88" s="15"/>
      <c r="N88" s="15"/>
      <c r="O88" s="15"/>
      <c r="P88" s="15"/>
      <c r="Q88" s="15"/>
      <c r="R88" s="15"/>
      <c r="S88" s="15"/>
      <c r="T88" s="15"/>
    </row>
    <row r="89" spans="1:20" ht="19.5" customHeight="1" x14ac:dyDescent="0.35">
      <c r="A89" s="15"/>
      <c r="B89" s="15"/>
      <c r="C89" s="15"/>
      <c r="D89" s="15"/>
      <c r="E89" s="15"/>
      <c r="F89" s="15"/>
      <c r="G89" s="15"/>
      <c r="H89" s="15"/>
      <c r="I89" s="15"/>
      <c r="J89" s="15"/>
      <c r="K89" s="15"/>
      <c r="L89" s="15"/>
      <c r="M89" s="15"/>
      <c r="N89" s="15"/>
      <c r="O89" s="15"/>
      <c r="P89" s="15"/>
      <c r="Q89" s="15"/>
      <c r="R89" s="15"/>
      <c r="S89" s="15"/>
      <c r="T89" s="15"/>
    </row>
    <row r="90" spans="1:20" ht="19.5" customHeight="1" x14ac:dyDescent="0.35">
      <c r="A90" s="15"/>
      <c r="B90" s="15"/>
      <c r="C90" s="15"/>
      <c r="D90" s="15"/>
      <c r="E90" s="15"/>
      <c r="F90" s="15"/>
      <c r="G90" s="15"/>
      <c r="H90" s="15"/>
      <c r="I90" s="15"/>
      <c r="J90" s="15"/>
      <c r="K90" s="15"/>
      <c r="L90" s="15"/>
      <c r="M90" s="15"/>
      <c r="N90" s="15"/>
      <c r="O90" s="15"/>
      <c r="P90" s="15"/>
      <c r="Q90" s="15"/>
      <c r="R90" s="15"/>
      <c r="S90" s="15"/>
      <c r="T90" s="15"/>
    </row>
    <row r="91" spans="1:20" ht="19.5" customHeight="1" x14ac:dyDescent="0.35">
      <c r="A91" s="15"/>
      <c r="B91" s="15"/>
      <c r="C91" s="15"/>
      <c r="D91" s="15"/>
      <c r="E91" s="15"/>
      <c r="F91" s="15"/>
      <c r="G91" s="15"/>
      <c r="H91" s="15"/>
      <c r="I91" s="15"/>
      <c r="J91" s="15"/>
      <c r="K91" s="15"/>
      <c r="L91" s="15"/>
      <c r="M91" s="15"/>
      <c r="N91" s="15"/>
      <c r="O91" s="15"/>
      <c r="P91" s="15"/>
      <c r="Q91" s="15"/>
      <c r="R91" s="15"/>
      <c r="S91" s="15"/>
      <c r="T91" s="15"/>
    </row>
    <row r="92" spans="1:20" ht="19.5" customHeight="1" x14ac:dyDescent="0.35">
      <c r="A92" s="15"/>
      <c r="B92" s="15"/>
      <c r="C92" s="15"/>
      <c r="D92" s="15"/>
      <c r="E92" s="15"/>
      <c r="F92" s="15"/>
      <c r="G92" s="15"/>
      <c r="H92" s="15"/>
      <c r="I92" s="15"/>
      <c r="J92" s="15"/>
      <c r="K92" s="15"/>
      <c r="L92" s="15"/>
      <c r="M92" s="15"/>
      <c r="N92" s="15"/>
      <c r="O92" s="15"/>
      <c r="P92" s="15"/>
      <c r="Q92" s="15"/>
      <c r="R92" s="15"/>
      <c r="S92" s="15"/>
      <c r="T92" s="15"/>
    </row>
    <row r="93" spans="1:20" ht="19.5" customHeight="1" x14ac:dyDescent="0.35">
      <c r="A93" s="15"/>
      <c r="B93" s="15"/>
      <c r="C93" s="15"/>
      <c r="D93" s="15"/>
      <c r="E93" s="15"/>
      <c r="F93" s="15"/>
      <c r="G93" s="15"/>
      <c r="H93" s="15"/>
      <c r="I93" s="15"/>
      <c r="J93" s="15"/>
      <c r="K93" s="15"/>
      <c r="L93" s="15"/>
      <c r="M93" s="15"/>
      <c r="N93" s="15"/>
      <c r="O93" s="15"/>
      <c r="P93" s="15"/>
      <c r="Q93" s="15"/>
      <c r="R93" s="15"/>
      <c r="S93" s="15"/>
      <c r="T93" s="15"/>
    </row>
    <row r="94" spans="1:20" ht="19.5" customHeight="1" x14ac:dyDescent="0.35">
      <c r="A94" s="15"/>
      <c r="B94" s="15"/>
      <c r="C94" s="15"/>
      <c r="D94" s="15"/>
      <c r="E94" s="15"/>
      <c r="F94" s="15"/>
      <c r="G94" s="15"/>
      <c r="H94" s="15"/>
      <c r="I94" s="15"/>
      <c r="J94" s="15"/>
      <c r="K94" s="15"/>
      <c r="L94" s="15"/>
      <c r="M94" s="15"/>
      <c r="N94" s="15"/>
      <c r="O94" s="15"/>
      <c r="P94" s="15"/>
      <c r="Q94" s="15"/>
      <c r="R94" s="15"/>
      <c r="S94" s="15"/>
      <c r="T94" s="15"/>
    </row>
    <row r="95" spans="1:20" ht="19.5" customHeight="1" x14ac:dyDescent="0.35">
      <c r="A95" s="15"/>
      <c r="B95" s="15"/>
      <c r="C95" s="15"/>
      <c r="D95" s="15"/>
      <c r="E95" s="15"/>
      <c r="F95" s="15"/>
      <c r="G95" s="15"/>
      <c r="H95" s="15"/>
      <c r="I95" s="15"/>
      <c r="J95" s="15"/>
      <c r="K95" s="15"/>
      <c r="L95" s="15"/>
      <c r="M95" s="15"/>
      <c r="N95" s="15"/>
      <c r="O95" s="15"/>
      <c r="P95" s="15"/>
      <c r="Q95" s="15"/>
      <c r="R95" s="15"/>
      <c r="S95" s="15"/>
      <c r="T95" s="15"/>
    </row>
    <row r="96" spans="1:20" ht="19.5" customHeight="1" x14ac:dyDescent="0.35">
      <c r="A96" s="15"/>
      <c r="B96" s="15"/>
      <c r="C96" s="15"/>
      <c r="D96" s="15"/>
      <c r="E96" s="15"/>
      <c r="F96" s="15"/>
      <c r="G96" s="15"/>
      <c r="H96" s="15"/>
      <c r="I96" s="15"/>
      <c r="J96" s="15"/>
      <c r="K96" s="15"/>
      <c r="L96" s="15"/>
      <c r="M96" s="15"/>
      <c r="N96" s="15"/>
      <c r="O96" s="15"/>
      <c r="P96" s="15"/>
      <c r="Q96" s="15"/>
      <c r="R96" s="15"/>
      <c r="S96" s="15"/>
      <c r="T96" s="15"/>
    </row>
    <row r="97" spans="1:20" ht="19.5" customHeight="1" x14ac:dyDescent="0.35">
      <c r="A97" s="15"/>
      <c r="B97" s="15"/>
      <c r="C97" s="15"/>
      <c r="D97" s="15"/>
      <c r="E97" s="15"/>
      <c r="F97" s="15"/>
      <c r="G97" s="15"/>
      <c r="H97" s="15"/>
      <c r="I97" s="15"/>
      <c r="J97" s="15"/>
      <c r="K97" s="15"/>
      <c r="L97" s="15"/>
      <c r="M97" s="15"/>
      <c r="N97" s="15"/>
      <c r="O97" s="15"/>
      <c r="P97" s="15"/>
      <c r="Q97" s="15"/>
      <c r="R97" s="15"/>
      <c r="S97" s="15"/>
      <c r="T97" s="15"/>
    </row>
    <row r="98" spans="1:20" ht="19.5" customHeight="1" x14ac:dyDescent="0.35">
      <c r="A98" s="15"/>
      <c r="B98" s="15"/>
      <c r="C98" s="15"/>
      <c r="D98" s="15"/>
      <c r="E98" s="15"/>
      <c r="F98" s="15"/>
      <c r="G98" s="15"/>
      <c r="H98" s="15"/>
      <c r="I98" s="15"/>
      <c r="J98" s="15"/>
      <c r="K98" s="15"/>
      <c r="L98" s="15"/>
      <c r="M98" s="15"/>
      <c r="N98" s="15"/>
      <c r="O98" s="15"/>
      <c r="P98" s="15"/>
      <c r="Q98" s="15"/>
      <c r="R98" s="15"/>
      <c r="S98" s="15"/>
      <c r="T98" s="15"/>
    </row>
    <row r="99" spans="1:20" ht="19.5" customHeight="1" x14ac:dyDescent="0.35">
      <c r="A99" s="15"/>
      <c r="B99" s="15"/>
      <c r="C99" s="15"/>
      <c r="D99" s="15"/>
      <c r="E99" s="15"/>
      <c r="F99" s="15"/>
      <c r="G99" s="15"/>
      <c r="H99" s="15"/>
      <c r="I99" s="15"/>
      <c r="J99" s="15"/>
      <c r="K99" s="15"/>
      <c r="L99" s="15"/>
      <c r="M99" s="15"/>
      <c r="N99" s="15"/>
      <c r="O99" s="15"/>
      <c r="P99" s="15"/>
      <c r="Q99" s="15"/>
      <c r="R99" s="15"/>
      <c r="S99" s="15"/>
      <c r="T99" s="15"/>
    </row>
    <row r="100" spans="1:20" ht="15" customHeight="1" x14ac:dyDescent="0.35">
      <c r="A100" s="15"/>
      <c r="B100" s="15"/>
      <c r="C100" s="15"/>
      <c r="D100" s="15"/>
      <c r="E100" s="15"/>
      <c r="F100" s="15"/>
      <c r="G100" s="15"/>
      <c r="H100" s="15"/>
      <c r="I100" s="15"/>
      <c r="J100" s="15"/>
      <c r="K100" s="15"/>
      <c r="L100" s="15"/>
      <c r="M100" s="15"/>
      <c r="N100" s="15"/>
      <c r="O100" s="15"/>
      <c r="P100" s="15"/>
      <c r="Q100" s="15"/>
      <c r="R100" s="15"/>
      <c r="S100" s="15"/>
      <c r="T100" s="15"/>
    </row>
    <row r="101" spans="1:20" ht="15" customHeight="1" x14ac:dyDescent="0.35">
      <c r="A101" s="15"/>
      <c r="B101" s="15"/>
      <c r="C101" s="15"/>
      <c r="D101" s="15"/>
      <c r="E101" s="15"/>
      <c r="F101" s="15"/>
      <c r="G101" s="15"/>
      <c r="H101" s="15"/>
      <c r="I101" s="15"/>
      <c r="J101" s="15"/>
      <c r="K101" s="15"/>
      <c r="L101" s="15"/>
      <c r="M101" s="15"/>
      <c r="N101" s="15"/>
      <c r="O101" s="15"/>
      <c r="P101" s="15"/>
      <c r="Q101" s="15"/>
      <c r="R101" s="15"/>
      <c r="S101" s="15"/>
      <c r="T101" s="15"/>
    </row>
    <row r="102" spans="1:20" ht="15" customHeight="1" x14ac:dyDescent="0.35">
      <c r="A102" s="15"/>
      <c r="B102" s="15"/>
      <c r="C102" s="15"/>
      <c r="D102" s="15"/>
      <c r="E102" s="15"/>
      <c r="F102" s="15"/>
      <c r="G102" s="15"/>
      <c r="H102" s="15"/>
      <c r="I102" s="15"/>
      <c r="J102" s="15"/>
      <c r="K102" s="15"/>
      <c r="L102" s="15"/>
      <c r="M102" s="15"/>
      <c r="N102" s="15"/>
      <c r="O102" s="15"/>
      <c r="P102" s="15"/>
      <c r="Q102" s="15"/>
      <c r="R102" s="15"/>
      <c r="S102" s="15"/>
      <c r="T102" s="15"/>
    </row>
    <row r="103" spans="1:20" ht="15" customHeight="1" x14ac:dyDescent="0.35">
      <c r="A103" s="15"/>
      <c r="B103" s="15"/>
      <c r="C103" s="15"/>
      <c r="D103" s="15"/>
      <c r="E103" s="15"/>
      <c r="F103" s="15"/>
      <c r="G103" s="15"/>
      <c r="H103" s="15"/>
      <c r="I103" s="15"/>
      <c r="J103" s="15"/>
      <c r="K103" s="15"/>
      <c r="L103" s="15"/>
      <c r="M103" s="15"/>
      <c r="N103" s="15"/>
      <c r="O103" s="15"/>
      <c r="P103" s="15"/>
      <c r="Q103" s="15"/>
      <c r="R103" s="15"/>
      <c r="S103" s="15"/>
      <c r="T103" s="15"/>
    </row>
    <row r="104" spans="1:20" ht="15" customHeight="1" x14ac:dyDescent="0.35">
      <c r="A104" s="15"/>
      <c r="B104" s="15"/>
      <c r="C104" s="15"/>
      <c r="D104" s="15"/>
      <c r="E104" s="15"/>
      <c r="F104" s="15"/>
      <c r="G104" s="15"/>
      <c r="H104" s="15"/>
      <c r="I104" s="15"/>
      <c r="J104" s="15"/>
      <c r="K104" s="15"/>
      <c r="L104" s="15"/>
      <c r="M104" s="15"/>
      <c r="N104" s="15"/>
      <c r="O104" s="15"/>
      <c r="P104" s="15"/>
      <c r="Q104" s="15"/>
      <c r="R104" s="15"/>
      <c r="S104" s="15"/>
      <c r="T104" s="15"/>
    </row>
    <row r="105" spans="1:20" ht="15" customHeight="1" x14ac:dyDescent="0.35">
      <c r="A105" s="15"/>
      <c r="B105" s="15"/>
      <c r="C105" s="15"/>
      <c r="D105" s="15"/>
      <c r="E105" s="15"/>
      <c r="F105" s="15"/>
      <c r="G105" s="15"/>
      <c r="H105" s="15"/>
      <c r="I105" s="15"/>
      <c r="J105" s="15"/>
      <c r="K105" s="15"/>
      <c r="L105" s="15"/>
      <c r="M105" s="15"/>
      <c r="N105" s="15"/>
      <c r="O105" s="15"/>
      <c r="P105" s="15"/>
      <c r="Q105" s="15"/>
      <c r="R105" s="15"/>
      <c r="S105" s="15"/>
      <c r="T105" s="15"/>
    </row>
    <row r="106" spans="1:20" ht="15" customHeight="1" x14ac:dyDescent="0.35">
      <c r="A106" s="15"/>
      <c r="B106" s="15"/>
      <c r="C106" s="15"/>
      <c r="D106" s="15"/>
      <c r="E106" s="15"/>
      <c r="F106" s="15"/>
      <c r="G106" s="15"/>
      <c r="H106" s="15"/>
      <c r="I106" s="15"/>
      <c r="J106" s="15"/>
      <c r="K106" s="15"/>
      <c r="L106" s="15"/>
      <c r="M106" s="15"/>
      <c r="N106" s="15"/>
      <c r="O106" s="15"/>
      <c r="P106" s="15"/>
      <c r="Q106" s="15"/>
      <c r="R106" s="15"/>
      <c r="S106" s="15"/>
      <c r="T106" s="15"/>
    </row>
    <row r="107" spans="1:20" ht="15" customHeight="1" x14ac:dyDescent="0.35">
      <c r="A107" s="15"/>
      <c r="B107" s="15"/>
      <c r="C107" s="15"/>
      <c r="D107" s="15"/>
      <c r="E107" s="15"/>
      <c r="F107" s="15"/>
      <c r="G107" s="15"/>
      <c r="H107" s="15"/>
      <c r="I107" s="15"/>
      <c r="J107" s="15"/>
      <c r="K107" s="15"/>
      <c r="L107" s="15"/>
      <c r="M107" s="15"/>
      <c r="N107" s="15"/>
      <c r="O107" s="15"/>
      <c r="P107" s="15"/>
      <c r="Q107" s="15"/>
      <c r="R107" s="15"/>
      <c r="S107" s="15"/>
      <c r="T107" s="15"/>
    </row>
    <row r="108" spans="1:20" ht="15" customHeight="1" x14ac:dyDescent="0.35">
      <c r="A108" s="15"/>
      <c r="B108" s="15"/>
      <c r="C108" s="15"/>
      <c r="D108" s="15"/>
      <c r="E108" s="15"/>
      <c r="F108" s="15"/>
      <c r="G108" s="15"/>
      <c r="H108" s="15"/>
      <c r="I108" s="15"/>
      <c r="J108" s="15"/>
      <c r="K108" s="15"/>
      <c r="L108" s="15"/>
      <c r="M108" s="15"/>
      <c r="N108" s="15"/>
      <c r="O108" s="15"/>
      <c r="P108" s="15"/>
      <c r="Q108" s="15"/>
      <c r="R108" s="15"/>
      <c r="S108" s="15"/>
      <c r="T108" s="15"/>
    </row>
    <row r="109" spans="1:20" ht="15" customHeight="1" x14ac:dyDescent="0.35">
      <c r="A109" s="15"/>
      <c r="B109" s="15"/>
      <c r="C109" s="15"/>
      <c r="D109" s="15"/>
      <c r="E109" s="15"/>
      <c r="F109" s="15"/>
      <c r="G109" s="15"/>
      <c r="H109" s="15"/>
      <c r="I109" s="15"/>
      <c r="J109" s="15"/>
      <c r="K109" s="15"/>
      <c r="L109" s="15"/>
      <c r="M109" s="15"/>
      <c r="N109" s="15"/>
      <c r="O109" s="15"/>
      <c r="P109" s="15"/>
      <c r="Q109" s="15"/>
      <c r="R109" s="15"/>
      <c r="S109" s="15"/>
      <c r="T109" s="15"/>
    </row>
    <row r="110" spans="1:20" ht="15" customHeight="1" x14ac:dyDescent="0.35">
      <c r="A110" s="15"/>
      <c r="B110" s="15"/>
      <c r="C110" s="15"/>
      <c r="D110" s="15"/>
      <c r="E110" s="15"/>
      <c r="F110" s="15"/>
      <c r="G110" s="15"/>
      <c r="H110" s="15"/>
      <c r="I110" s="15"/>
      <c r="J110" s="15"/>
      <c r="K110" s="15"/>
      <c r="L110" s="15"/>
      <c r="M110" s="15"/>
      <c r="N110" s="15"/>
      <c r="O110" s="15"/>
      <c r="P110" s="15"/>
      <c r="Q110" s="15"/>
      <c r="R110" s="15"/>
      <c r="S110" s="15"/>
      <c r="T110" s="15"/>
    </row>
    <row r="111" spans="1:20" ht="15" customHeight="1" x14ac:dyDescent="0.35">
      <c r="A111" s="15"/>
      <c r="B111" s="15"/>
      <c r="C111" s="15"/>
      <c r="D111" s="15"/>
      <c r="E111" s="15"/>
      <c r="F111" s="15"/>
      <c r="G111" s="15"/>
      <c r="H111" s="15"/>
      <c r="I111" s="15"/>
      <c r="J111" s="15"/>
      <c r="K111" s="15"/>
      <c r="L111" s="15"/>
      <c r="M111" s="15"/>
      <c r="N111" s="15"/>
      <c r="O111" s="15"/>
      <c r="P111" s="15"/>
      <c r="Q111" s="15"/>
      <c r="R111" s="15"/>
      <c r="S111" s="15"/>
      <c r="T111" s="15"/>
    </row>
    <row r="112" spans="1:20" ht="15" customHeight="1" x14ac:dyDescent="0.35">
      <c r="A112" s="15"/>
      <c r="B112" s="15"/>
      <c r="C112" s="15"/>
      <c r="D112" s="15"/>
      <c r="E112" s="15"/>
      <c r="F112" s="15"/>
      <c r="G112" s="15"/>
      <c r="H112" s="15"/>
      <c r="I112" s="15"/>
      <c r="J112" s="15"/>
      <c r="K112" s="15"/>
      <c r="L112" s="15"/>
      <c r="M112" s="15"/>
      <c r="N112" s="15"/>
      <c r="O112" s="15"/>
      <c r="P112" s="15"/>
      <c r="Q112" s="15"/>
      <c r="R112" s="15"/>
      <c r="S112" s="15"/>
      <c r="T112" s="15"/>
    </row>
    <row r="113" spans="1:20" ht="15" customHeight="1" x14ac:dyDescent="0.35">
      <c r="A113" s="15"/>
      <c r="B113" s="15"/>
      <c r="C113" s="15"/>
      <c r="D113" s="15"/>
      <c r="E113" s="15"/>
      <c r="F113" s="15"/>
      <c r="G113" s="15"/>
      <c r="H113" s="15"/>
      <c r="I113" s="15"/>
      <c r="J113" s="15"/>
      <c r="K113" s="15"/>
      <c r="L113" s="15"/>
      <c r="M113" s="15"/>
      <c r="N113" s="15"/>
      <c r="O113" s="15"/>
      <c r="P113" s="15"/>
      <c r="Q113" s="15"/>
      <c r="R113" s="15"/>
      <c r="S113" s="15"/>
      <c r="T113" s="15"/>
    </row>
    <row r="114" spans="1:20" ht="15" customHeight="1" x14ac:dyDescent="0.35">
      <c r="A114" s="15"/>
      <c r="B114" s="15"/>
      <c r="C114" s="15"/>
      <c r="D114" s="15"/>
      <c r="E114" s="15"/>
      <c r="F114" s="15"/>
      <c r="G114" s="15"/>
      <c r="H114" s="15"/>
      <c r="I114" s="15"/>
      <c r="J114" s="15"/>
      <c r="K114" s="15"/>
      <c r="L114" s="15"/>
      <c r="M114" s="15"/>
      <c r="N114" s="15"/>
      <c r="O114" s="15"/>
      <c r="P114" s="15"/>
      <c r="Q114" s="15"/>
      <c r="R114" s="15"/>
      <c r="S114" s="15"/>
      <c r="T114" s="15"/>
    </row>
    <row r="115" spans="1:20" ht="15" customHeight="1" x14ac:dyDescent="0.35">
      <c r="A115" s="15"/>
      <c r="B115" s="15"/>
      <c r="C115" s="15"/>
      <c r="D115" s="15"/>
      <c r="E115" s="15"/>
      <c r="F115" s="15"/>
      <c r="G115" s="15"/>
      <c r="H115" s="15"/>
      <c r="I115" s="15"/>
      <c r="J115" s="15"/>
      <c r="K115" s="15"/>
      <c r="L115" s="15"/>
      <c r="M115" s="15"/>
      <c r="N115" s="15"/>
      <c r="O115" s="15"/>
      <c r="P115" s="15"/>
      <c r="Q115" s="15"/>
      <c r="R115" s="15"/>
      <c r="S115" s="15"/>
      <c r="T115" s="15"/>
    </row>
    <row r="116" spans="1:20" ht="15" customHeight="1" x14ac:dyDescent="0.35">
      <c r="A116" s="15"/>
      <c r="B116" s="15"/>
      <c r="C116" s="15"/>
      <c r="D116" s="15"/>
      <c r="E116" s="15"/>
      <c r="F116" s="15"/>
      <c r="G116" s="15"/>
      <c r="H116" s="15"/>
      <c r="I116" s="15"/>
      <c r="J116" s="15"/>
      <c r="K116" s="15"/>
      <c r="L116" s="15"/>
      <c r="M116" s="15"/>
      <c r="N116" s="15"/>
      <c r="O116" s="15"/>
      <c r="P116" s="15"/>
      <c r="Q116" s="15"/>
      <c r="R116" s="15"/>
      <c r="S116" s="15"/>
      <c r="T116" s="15"/>
    </row>
    <row r="117" spans="1:20" ht="15" customHeight="1" x14ac:dyDescent="0.35">
      <c r="A117" s="15"/>
      <c r="B117" s="15"/>
      <c r="C117" s="15"/>
      <c r="D117" s="15"/>
      <c r="E117" s="15"/>
      <c r="F117" s="15"/>
      <c r="G117" s="15"/>
      <c r="H117" s="15"/>
      <c r="I117" s="15"/>
      <c r="J117" s="15"/>
      <c r="K117" s="15"/>
      <c r="L117" s="15"/>
      <c r="M117" s="15"/>
      <c r="N117" s="15"/>
      <c r="O117" s="15"/>
      <c r="P117" s="15"/>
      <c r="Q117" s="15"/>
      <c r="R117" s="15"/>
      <c r="S117" s="15"/>
      <c r="T117" s="15"/>
    </row>
    <row r="118" spans="1:20" ht="15" customHeight="1" x14ac:dyDescent="0.35">
      <c r="A118" s="15"/>
      <c r="B118" s="15"/>
      <c r="C118" s="15"/>
      <c r="D118" s="15"/>
      <c r="E118" s="15"/>
      <c r="F118" s="15"/>
      <c r="G118" s="15"/>
      <c r="H118" s="15"/>
      <c r="I118" s="15"/>
      <c r="J118" s="15"/>
      <c r="K118" s="15"/>
      <c r="L118" s="15"/>
      <c r="M118" s="15"/>
      <c r="N118" s="15"/>
      <c r="O118" s="15"/>
      <c r="P118" s="15"/>
      <c r="Q118" s="15"/>
      <c r="R118" s="15"/>
      <c r="S118" s="15"/>
      <c r="T118" s="15"/>
    </row>
    <row r="119" spans="1:20" ht="15" customHeight="1" x14ac:dyDescent="0.35">
      <c r="A119" s="15"/>
      <c r="B119" s="15"/>
      <c r="C119" s="15"/>
      <c r="D119" s="15"/>
      <c r="E119" s="15"/>
      <c r="F119" s="15"/>
      <c r="G119" s="15"/>
      <c r="H119" s="15"/>
      <c r="I119" s="15"/>
      <c r="J119" s="15"/>
      <c r="K119" s="15"/>
      <c r="L119" s="15"/>
      <c r="M119" s="15"/>
      <c r="N119" s="15"/>
      <c r="O119" s="15"/>
      <c r="P119" s="15"/>
      <c r="Q119" s="15"/>
      <c r="R119" s="15"/>
      <c r="S119" s="15"/>
      <c r="T119" s="15"/>
    </row>
    <row r="120" spans="1:20" ht="15" customHeight="1" x14ac:dyDescent="0.35">
      <c r="A120" s="15"/>
      <c r="B120" s="15"/>
      <c r="C120" s="15"/>
      <c r="D120" s="15"/>
      <c r="E120" s="15"/>
      <c r="F120" s="15"/>
      <c r="G120" s="15"/>
      <c r="H120" s="15"/>
      <c r="I120" s="15"/>
      <c r="J120" s="15"/>
      <c r="K120" s="15"/>
      <c r="L120" s="15"/>
      <c r="M120" s="15"/>
      <c r="N120" s="15"/>
      <c r="O120" s="15"/>
      <c r="P120" s="15"/>
      <c r="Q120" s="15"/>
      <c r="R120" s="15"/>
      <c r="S120" s="15"/>
      <c r="T120" s="15"/>
    </row>
  </sheetData>
  <mergeCells count="15">
    <mergeCell ref="B13:D13"/>
    <mergeCell ref="B15:D15"/>
    <mergeCell ref="B24:D24"/>
    <mergeCell ref="B30:D30"/>
    <mergeCell ref="B31:D31"/>
    <mergeCell ref="B8:D8"/>
    <mergeCell ref="B9:D9"/>
    <mergeCell ref="B10:D10"/>
    <mergeCell ref="B11:D11"/>
    <mergeCell ref="B12:D12"/>
    <mergeCell ref="B2:N2"/>
    <mergeCell ref="B3:N3"/>
    <mergeCell ref="B5:D5"/>
    <mergeCell ref="B6:D6"/>
    <mergeCell ref="B7:D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2C55E"/>
  </sheetPr>
  <dimension ref="A1:I85"/>
  <sheetViews>
    <sheetView showGridLines="0" topLeftCell="A26" zoomScaleNormal="100" workbookViewId="0"/>
  </sheetViews>
  <sheetFormatPr baseColWidth="10" defaultColWidth="8.6328125" defaultRowHeight="14.5" x14ac:dyDescent="0.35"/>
  <cols>
    <col min="1" max="1" width="2" customWidth="1"/>
    <col min="2" max="2" width="22" customWidth="1"/>
    <col min="3" max="3" width="32" customWidth="1"/>
    <col min="4" max="6" width="14" customWidth="1"/>
    <col min="7" max="7" width="2" customWidth="1"/>
  </cols>
  <sheetData>
    <row r="1" spans="1:9" ht="19.5" customHeight="1" x14ac:dyDescent="0.35">
      <c r="A1" s="15"/>
      <c r="B1" s="15"/>
      <c r="C1" s="15"/>
      <c r="D1" s="15"/>
      <c r="E1" s="15"/>
      <c r="F1" s="15"/>
      <c r="G1" s="15"/>
      <c r="H1" s="15"/>
      <c r="I1" s="15"/>
    </row>
    <row r="2" spans="1:9" ht="39.75" customHeight="1" x14ac:dyDescent="0.35">
      <c r="A2" s="15"/>
      <c r="B2" s="148" t="s">
        <v>387</v>
      </c>
      <c r="C2" s="148"/>
      <c r="D2" s="148"/>
      <c r="E2" s="148"/>
      <c r="F2" s="148"/>
      <c r="G2" s="15"/>
      <c r="H2" s="15"/>
      <c r="I2" s="15"/>
    </row>
    <row r="3" spans="1:9" ht="18" customHeight="1" x14ac:dyDescent="0.35">
      <c r="A3" s="15"/>
      <c r="B3" s="149" t="s">
        <v>388</v>
      </c>
      <c r="C3" s="149"/>
      <c r="D3" s="149"/>
      <c r="E3" s="149"/>
      <c r="F3" s="149"/>
      <c r="G3" s="15"/>
      <c r="H3" s="15"/>
      <c r="I3" s="15"/>
    </row>
    <row r="4" spans="1:9" ht="19.5" customHeight="1" x14ac:dyDescent="0.35">
      <c r="A4" s="15"/>
      <c r="B4" s="15"/>
      <c r="C4" s="15"/>
      <c r="D4" s="15"/>
      <c r="E4" s="15"/>
      <c r="F4" s="15"/>
      <c r="G4" s="15"/>
      <c r="H4" s="15"/>
      <c r="I4" s="15"/>
    </row>
    <row r="5" spans="1:9" ht="27.75" customHeight="1" x14ac:dyDescent="0.35">
      <c r="A5" s="15"/>
      <c r="B5" s="150" t="s">
        <v>389</v>
      </c>
      <c r="C5" s="150"/>
      <c r="D5" s="150"/>
      <c r="E5" s="150"/>
      <c r="F5" s="150"/>
      <c r="G5" s="15"/>
      <c r="H5" s="15"/>
      <c r="I5" s="15"/>
    </row>
    <row r="6" spans="1:9" ht="43.5" customHeight="1" x14ac:dyDescent="0.35">
      <c r="A6" s="15"/>
      <c r="B6" s="151" t="s">
        <v>390</v>
      </c>
      <c r="C6" s="151"/>
      <c r="D6" s="151"/>
      <c r="E6" s="151"/>
      <c r="F6" s="151"/>
      <c r="G6" s="15"/>
      <c r="H6" s="15"/>
      <c r="I6" s="15"/>
    </row>
    <row r="7" spans="1:9" ht="19.5" customHeight="1" x14ac:dyDescent="0.35">
      <c r="A7" s="15"/>
      <c r="B7" s="15"/>
      <c r="C7" s="15"/>
      <c r="D7" s="15"/>
      <c r="E7" s="15"/>
      <c r="F7" s="15"/>
      <c r="G7" s="15"/>
      <c r="H7" s="15"/>
      <c r="I7" s="15"/>
    </row>
    <row r="8" spans="1:9" ht="27.75" customHeight="1" x14ac:dyDescent="0.35">
      <c r="A8" s="15"/>
      <c r="B8" s="152" t="s">
        <v>391</v>
      </c>
      <c r="C8" s="152"/>
      <c r="D8" s="152"/>
      <c r="E8" s="152"/>
      <c r="F8" s="152"/>
      <c r="G8" s="15"/>
      <c r="H8" s="15"/>
      <c r="I8" s="15"/>
    </row>
    <row r="9" spans="1:9" ht="21.75" customHeight="1" x14ac:dyDescent="0.35">
      <c r="A9" s="15"/>
      <c r="B9" s="86" t="s">
        <v>63</v>
      </c>
      <c r="C9" s="86" t="s">
        <v>289</v>
      </c>
      <c r="D9" s="86" t="s">
        <v>392</v>
      </c>
      <c r="E9" s="86" t="s">
        <v>393</v>
      </c>
      <c r="F9" s="15"/>
      <c r="G9" s="15"/>
      <c r="H9" s="15"/>
      <c r="I9" s="15"/>
    </row>
    <row r="10" spans="1:9" ht="25.5" customHeight="1" x14ac:dyDescent="0.35">
      <c r="A10" s="15"/>
      <c r="B10" s="27" t="s">
        <v>394</v>
      </c>
      <c r="C10" s="28" t="s">
        <v>395</v>
      </c>
      <c r="D10" s="97" t="s">
        <v>396</v>
      </c>
      <c r="E10" s="98" t="s">
        <v>397</v>
      </c>
      <c r="F10" s="15"/>
      <c r="G10" s="15"/>
      <c r="H10" s="15"/>
      <c r="I10" s="15"/>
    </row>
    <row r="11" spans="1:9" ht="25.5" customHeight="1" x14ac:dyDescent="0.35">
      <c r="A11" s="15"/>
      <c r="B11" s="35" t="s">
        <v>398</v>
      </c>
      <c r="C11" s="36" t="s">
        <v>399</v>
      </c>
      <c r="D11" s="99" t="s">
        <v>400</v>
      </c>
      <c r="E11" s="100" t="s">
        <v>401</v>
      </c>
      <c r="F11" s="15"/>
      <c r="G11" s="15"/>
      <c r="H11" s="15"/>
      <c r="I11" s="15"/>
    </row>
    <row r="12" spans="1:9" ht="25.5" customHeight="1" x14ac:dyDescent="0.35">
      <c r="A12" s="15"/>
      <c r="B12" s="27" t="s">
        <v>402</v>
      </c>
      <c r="C12" s="28" t="s">
        <v>403</v>
      </c>
      <c r="D12" s="97" t="s">
        <v>404</v>
      </c>
      <c r="E12" s="98" t="s">
        <v>405</v>
      </c>
      <c r="F12" s="15"/>
      <c r="G12" s="15"/>
      <c r="H12" s="15"/>
      <c r="I12" s="15"/>
    </row>
    <row r="13" spans="1:9" ht="25.5" customHeight="1" x14ac:dyDescent="0.35">
      <c r="A13" s="15"/>
      <c r="B13" s="35" t="s">
        <v>406</v>
      </c>
      <c r="C13" s="36" t="s">
        <v>407</v>
      </c>
      <c r="D13" s="99" t="s">
        <v>408</v>
      </c>
      <c r="E13" s="100" t="s">
        <v>409</v>
      </c>
      <c r="F13" s="15"/>
      <c r="G13" s="15"/>
      <c r="H13" s="15"/>
      <c r="I13" s="15"/>
    </row>
    <row r="14" spans="1:9" ht="25.5" customHeight="1" x14ac:dyDescent="0.35">
      <c r="A14" s="15"/>
      <c r="B14" s="27" t="s">
        <v>410</v>
      </c>
      <c r="C14" s="28" t="s">
        <v>411</v>
      </c>
      <c r="D14" s="97" t="s">
        <v>412</v>
      </c>
      <c r="E14" s="98" t="s">
        <v>413</v>
      </c>
      <c r="F14" s="15"/>
      <c r="G14" s="15"/>
      <c r="H14" s="15"/>
      <c r="I14" s="15"/>
    </row>
    <row r="15" spans="1:9" ht="25.5" customHeight="1" x14ac:dyDescent="0.35">
      <c r="A15" s="15"/>
      <c r="B15" s="35" t="s">
        <v>414</v>
      </c>
      <c r="C15" s="36" t="s">
        <v>415</v>
      </c>
      <c r="D15" s="99" t="s">
        <v>408</v>
      </c>
      <c r="E15" s="100" t="s">
        <v>416</v>
      </c>
      <c r="F15" s="15"/>
      <c r="G15" s="15"/>
      <c r="H15" s="15"/>
      <c r="I15" s="15"/>
    </row>
    <row r="16" spans="1:9" ht="25.5" customHeight="1" x14ac:dyDescent="0.35">
      <c r="A16" s="15"/>
      <c r="B16" s="27" t="s">
        <v>417</v>
      </c>
      <c r="C16" s="28" t="s">
        <v>418</v>
      </c>
      <c r="D16" s="97" t="s">
        <v>419</v>
      </c>
      <c r="E16" s="98" t="s">
        <v>420</v>
      </c>
      <c r="F16" s="15"/>
      <c r="G16" s="15"/>
      <c r="H16" s="15"/>
      <c r="I16" s="15"/>
    </row>
    <row r="17" spans="1:9" ht="25.5" customHeight="1" x14ac:dyDescent="0.35">
      <c r="A17" s="15"/>
      <c r="B17" s="35" t="s">
        <v>421</v>
      </c>
      <c r="C17" s="36" t="s">
        <v>422</v>
      </c>
      <c r="D17" s="99" t="s">
        <v>423</v>
      </c>
      <c r="E17" s="100" t="s">
        <v>424</v>
      </c>
      <c r="F17" s="15"/>
      <c r="G17" s="15"/>
      <c r="H17" s="15"/>
      <c r="I17" s="15"/>
    </row>
    <row r="18" spans="1:9" ht="25.5" customHeight="1" x14ac:dyDescent="0.35">
      <c r="A18" s="15"/>
      <c r="B18" s="27" t="s">
        <v>425</v>
      </c>
      <c r="C18" s="28" t="s">
        <v>426</v>
      </c>
      <c r="D18" s="97" t="s">
        <v>404</v>
      </c>
      <c r="E18" s="98" t="s">
        <v>427</v>
      </c>
      <c r="F18" s="15"/>
      <c r="G18" s="15"/>
      <c r="H18" s="15"/>
      <c r="I18" s="15"/>
    </row>
    <row r="19" spans="1:9" ht="25.5" customHeight="1" x14ac:dyDescent="0.35">
      <c r="A19" s="15"/>
      <c r="B19" s="35" t="s">
        <v>428</v>
      </c>
      <c r="C19" s="36" t="s">
        <v>429</v>
      </c>
      <c r="D19" s="99" t="s">
        <v>430</v>
      </c>
      <c r="E19" s="100" t="s">
        <v>431</v>
      </c>
      <c r="F19" s="15"/>
      <c r="G19" s="15"/>
      <c r="H19" s="15"/>
      <c r="I19" s="15"/>
    </row>
    <row r="20" spans="1:9" ht="19.5" customHeight="1" x14ac:dyDescent="0.35">
      <c r="A20" s="15"/>
      <c r="B20" s="15"/>
      <c r="C20" s="15"/>
      <c r="D20" s="15"/>
      <c r="E20" s="15"/>
      <c r="F20" s="15"/>
      <c r="G20" s="15"/>
      <c r="H20" s="15"/>
      <c r="I20" s="15"/>
    </row>
    <row r="21" spans="1:9" ht="27.75" customHeight="1" x14ac:dyDescent="0.35">
      <c r="A21" s="15"/>
      <c r="B21" s="150" t="s">
        <v>432</v>
      </c>
      <c r="C21" s="150"/>
      <c r="D21" s="150"/>
      <c r="E21" s="150"/>
      <c r="F21" s="150"/>
      <c r="G21" s="15"/>
      <c r="H21" s="15"/>
      <c r="I21" s="15"/>
    </row>
    <row r="22" spans="1:9" ht="21.75" customHeight="1" x14ac:dyDescent="0.35">
      <c r="A22" s="15"/>
      <c r="B22" s="86" t="s">
        <v>433</v>
      </c>
      <c r="C22" s="86" t="s">
        <v>434</v>
      </c>
      <c r="D22" s="86" t="s">
        <v>435</v>
      </c>
      <c r="E22" s="15"/>
      <c r="F22" s="15"/>
      <c r="G22" s="15"/>
      <c r="H22" s="15"/>
      <c r="I22" s="15"/>
    </row>
    <row r="23" spans="1:9" ht="36" customHeight="1" x14ac:dyDescent="0.35">
      <c r="A23" s="15"/>
      <c r="B23" s="101" t="s">
        <v>436</v>
      </c>
      <c r="C23" s="102" t="s">
        <v>291</v>
      </c>
      <c r="D23" s="153" t="s">
        <v>437</v>
      </c>
      <c r="E23" s="153"/>
      <c r="F23" s="153"/>
      <c r="G23" s="15"/>
      <c r="H23" s="15"/>
      <c r="I23" s="15"/>
    </row>
    <row r="24" spans="1:9" ht="36" customHeight="1" x14ac:dyDescent="0.35">
      <c r="A24" s="15"/>
      <c r="B24" s="103" t="s">
        <v>438</v>
      </c>
      <c r="C24" s="104" t="s">
        <v>439</v>
      </c>
      <c r="D24" s="6" t="s">
        <v>440</v>
      </c>
      <c r="E24" s="6"/>
      <c r="F24" s="6"/>
      <c r="G24" s="15"/>
      <c r="H24" s="15"/>
      <c r="I24" s="15"/>
    </row>
    <row r="25" spans="1:9" ht="36" customHeight="1" x14ac:dyDescent="0.35">
      <c r="A25" s="15"/>
      <c r="B25" s="101" t="s">
        <v>441</v>
      </c>
      <c r="C25" s="102" t="s">
        <v>442</v>
      </c>
      <c r="D25" s="153" t="s">
        <v>443</v>
      </c>
      <c r="E25" s="153"/>
      <c r="F25" s="153"/>
      <c r="G25" s="15"/>
      <c r="H25" s="15"/>
      <c r="I25" s="15"/>
    </row>
    <row r="26" spans="1:9" ht="36" customHeight="1" x14ac:dyDescent="0.35">
      <c r="A26" s="15"/>
      <c r="B26" s="103" t="s">
        <v>444</v>
      </c>
      <c r="C26" s="104" t="s">
        <v>445</v>
      </c>
      <c r="D26" s="6" t="s">
        <v>446</v>
      </c>
      <c r="E26" s="6"/>
      <c r="F26" s="6"/>
      <c r="G26" s="15"/>
      <c r="H26" s="15"/>
      <c r="I26" s="15"/>
    </row>
    <row r="27" spans="1:9" ht="36" customHeight="1" x14ac:dyDescent="0.35">
      <c r="A27" s="15"/>
      <c r="B27" s="101" t="s">
        <v>447</v>
      </c>
      <c r="C27" s="102" t="s">
        <v>448</v>
      </c>
      <c r="D27" s="153" t="s">
        <v>449</v>
      </c>
      <c r="E27" s="153"/>
      <c r="F27" s="153"/>
      <c r="G27" s="15"/>
      <c r="H27" s="15"/>
      <c r="I27" s="15"/>
    </row>
    <row r="28" spans="1:9" ht="19.5" customHeight="1" x14ac:dyDescent="0.35">
      <c r="A28" s="15"/>
      <c r="B28" s="15"/>
      <c r="C28" s="15"/>
      <c r="D28" s="15"/>
      <c r="E28" s="15"/>
      <c r="F28" s="15"/>
      <c r="G28" s="15"/>
      <c r="H28" s="15"/>
      <c r="I28" s="15"/>
    </row>
    <row r="29" spans="1:9" ht="27.75" customHeight="1" x14ac:dyDescent="0.35">
      <c r="A29" s="15"/>
      <c r="B29" s="152" t="s">
        <v>450</v>
      </c>
      <c r="C29" s="152"/>
      <c r="D29" s="152"/>
      <c r="E29" s="152"/>
      <c r="F29" s="152"/>
      <c r="G29" s="15"/>
      <c r="H29" s="15"/>
      <c r="I29" s="15"/>
    </row>
    <row r="30" spans="1:9" ht="43.5" customHeight="1" x14ac:dyDescent="0.35">
      <c r="A30" s="15"/>
      <c r="B30" s="151" t="s">
        <v>451</v>
      </c>
      <c r="C30" s="151"/>
      <c r="D30" s="151"/>
      <c r="E30" s="151"/>
      <c r="F30" s="151"/>
      <c r="G30" s="15"/>
      <c r="H30" s="15"/>
      <c r="I30" s="15"/>
    </row>
    <row r="31" spans="1:9" ht="21.75" customHeight="1" x14ac:dyDescent="0.35">
      <c r="A31" s="15"/>
      <c r="B31" s="86" t="s">
        <v>452</v>
      </c>
      <c r="C31" s="86" t="s">
        <v>453</v>
      </c>
      <c r="D31" s="86" t="s">
        <v>66</v>
      </c>
      <c r="E31" s="86" t="s">
        <v>454</v>
      </c>
      <c r="F31" s="86" t="s">
        <v>67</v>
      </c>
      <c r="G31" s="15"/>
      <c r="H31" s="15"/>
      <c r="I31" s="15"/>
    </row>
    <row r="32" spans="1:9" ht="25.5" customHeight="1" x14ac:dyDescent="0.35">
      <c r="A32" s="15"/>
      <c r="B32" s="105" t="s">
        <v>455</v>
      </c>
      <c r="C32" s="23" t="s">
        <v>456</v>
      </c>
      <c r="D32" s="106" t="s">
        <v>457</v>
      </c>
      <c r="E32" s="98" t="s">
        <v>458</v>
      </c>
      <c r="F32" s="107" t="s">
        <v>459</v>
      </c>
      <c r="G32" s="15"/>
      <c r="H32" s="15"/>
      <c r="I32" s="15"/>
    </row>
    <row r="33" spans="1:9" ht="25.5" customHeight="1" x14ac:dyDescent="0.35">
      <c r="A33" s="15"/>
      <c r="B33" s="108" t="s">
        <v>460</v>
      </c>
      <c r="C33" s="109" t="s">
        <v>461</v>
      </c>
      <c r="D33" s="110" t="s">
        <v>462</v>
      </c>
      <c r="E33" s="100" t="s">
        <v>463</v>
      </c>
      <c r="F33" s="111" t="s">
        <v>148</v>
      </c>
      <c r="G33" s="15"/>
      <c r="H33" s="15"/>
      <c r="I33" s="15"/>
    </row>
    <row r="34" spans="1:9" ht="25.5" customHeight="1" x14ac:dyDescent="0.35">
      <c r="A34" s="15"/>
      <c r="B34" s="105" t="s">
        <v>464</v>
      </c>
      <c r="C34" s="23" t="s">
        <v>465</v>
      </c>
      <c r="D34" s="106" t="s">
        <v>466</v>
      </c>
      <c r="E34" s="98" t="s">
        <v>467</v>
      </c>
      <c r="F34" s="107" t="s">
        <v>96</v>
      </c>
      <c r="G34" s="15"/>
      <c r="H34" s="15"/>
      <c r="I34" s="15"/>
    </row>
    <row r="35" spans="1:9" ht="25.5" customHeight="1" x14ac:dyDescent="0.35">
      <c r="A35" s="15"/>
      <c r="B35" s="108" t="s">
        <v>468</v>
      </c>
      <c r="C35" s="109" t="s">
        <v>469</v>
      </c>
      <c r="D35" s="110" t="s">
        <v>470</v>
      </c>
      <c r="E35" s="100" t="s">
        <v>471</v>
      </c>
      <c r="F35" s="111" t="s">
        <v>86</v>
      </c>
      <c r="G35" s="15"/>
      <c r="H35" s="15"/>
      <c r="I35" s="15"/>
    </row>
    <row r="36" spans="1:9" ht="25.5" customHeight="1" x14ac:dyDescent="0.35">
      <c r="A36" s="15"/>
      <c r="B36" s="112" t="s">
        <v>472</v>
      </c>
      <c r="C36" s="23" t="s">
        <v>473</v>
      </c>
      <c r="D36" s="106" t="s">
        <v>474</v>
      </c>
      <c r="E36" s="98" t="s">
        <v>475</v>
      </c>
      <c r="F36" s="107" t="s">
        <v>476</v>
      </c>
      <c r="G36" s="15"/>
      <c r="H36" s="15"/>
      <c r="I36" s="15"/>
    </row>
    <row r="37" spans="1:9" ht="19.5" customHeight="1" x14ac:dyDescent="0.35">
      <c r="A37" s="15"/>
      <c r="B37" s="15"/>
      <c r="C37" s="15"/>
      <c r="D37" s="15"/>
      <c r="E37" s="15"/>
      <c r="F37" s="15"/>
      <c r="G37" s="15"/>
      <c r="H37" s="15"/>
      <c r="I37" s="15"/>
    </row>
    <row r="38" spans="1:9" ht="27.75" customHeight="1" x14ac:dyDescent="0.35">
      <c r="A38" s="15"/>
      <c r="B38" s="154" t="s">
        <v>477</v>
      </c>
      <c r="C38" s="154"/>
      <c r="D38" s="154"/>
      <c r="E38" s="154"/>
      <c r="F38" s="154"/>
      <c r="G38" s="15"/>
      <c r="H38" s="15"/>
      <c r="I38" s="15"/>
    </row>
    <row r="39" spans="1:9" ht="19.5" customHeight="1" x14ac:dyDescent="0.35">
      <c r="A39" s="15"/>
      <c r="B39" s="15"/>
      <c r="C39" s="15"/>
      <c r="D39" s="15"/>
      <c r="E39" s="15"/>
      <c r="F39" s="15"/>
      <c r="G39" s="15"/>
      <c r="H39" s="15"/>
      <c r="I39" s="15"/>
    </row>
    <row r="40" spans="1:9" ht="19.5" customHeight="1" x14ac:dyDescent="0.35">
      <c r="A40" s="15"/>
      <c r="B40" s="15"/>
      <c r="C40" s="15"/>
      <c r="D40" s="15"/>
      <c r="E40" s="15"/>
      <c r="F40" s="15"/>
      <c r="G40" s="15"/>
      <c r="H40" s="15"/>
      <c r="I40" s="15"/>
    </row>
    <row r="41" spans="1:9" ht="19.5" customHeight="1" x14ac:dyDescent="0.35">
      <c r="A41" s="15"/>
      <c r="B41" s="15"/>
      <c r="C41" s="15"/>
      <c r="D41" s="15"/>
      <c r="E41" s="15"/>
      <c r="F41" s="15"/>
      <c r="G41" s="15"/>
      <c r="H41" s="15"/>
      <c r="I41" s="15"/>
    </row>
    <row r="42" spans="1:9" ht="19.5" customHeight="1" x14ac:dyDescent="0.35">
      <c r="A42" s="15"/>
      <c r="B42" s="15"/>
      <c r="C42" s="15"/>
      <c r="D42" s="15"/>
      <c r="E42" s="15"/>
      <c r="F42" s="15"/>
      <c r="G42" s="15"/>
      <c r="H42" s="15"/>
      <c r="I42" s="15"/>
    </row>
    <row r="43" spans="1:9" ht="19.5" customHeight="1" x14ac:dyDescent="0.35">
      <c r="A43" s="15"/>
      <c r="B43" s="15"/>
      <c r="C43" s="15"/>
      <c r="D43" s="15"/>
      <c r="E43" s="15"/>
      <c r="F43" s="15"/>
      <c r="G43" s="15"/>
      <c r="H43" s="15"/>
      <c r="I43" s="15"/>
    </row>
    <row r="44" spans="1:9" ht="19.5" customHeight="1" x14ac:dyDescent="0.35">
      <c r="A44" s="15"/>
      <c r="B44" s="15"/>
      <c r="C44" s="15"/>
      <c r="D44" s="15"/>
      <c r="E44" s="15"/>
      <c r="F44" s="15"/>
      <c r="G44" s="15"/>
      <c r="H44" s="15"/>
      <c r="I44" s="15"/>
    </row>
    <row r="45" spans="1:9" ht="19.5" customHeight="1" x14ac:dyDescent="0.35">
      <c r="A45" s="15"/>
      <c r="B45" s="15"/>
      <c r="C45" s="15"/>
      <c r="D45" s="15"/>
      <c r="E45" s="15"/>
      <c r="F45" s="15"/>
      <c r="G45" s="15"/>
      <c r="H45" s="15"/>
      <c r="I45" s="15"/>
    </row>
    <row r="46" spans="1:9" ht="19.5" customHeight="1" x14ac:dyDescent="0.35">
      <c r="A46" s="15"/>
      <c r="B46" s="15"/>
      <c r="C46" s="15"/>
      <c r="D46" s="15"/>
      <c r="E46" s="15"/>
      <c r="F46" s="15"/>
      <c r="G46" s="15"/>
      <c r="H46" s="15"/>
      <c r="I46" s="15"/>
    </row>
    <row r="47" spans="1:9" ht="19.5" customHeight="1" x14ac:dyDescent="0.35">
      <c r="A47" s="15"/>
      <c r="B47" s="15"/>
      <c r="C47" s="15"/>
      <c r="D47" s="15"/>
      <c r="E47" s="15"/>
      <c r="F47" s="15"/>
      <c r="G47" s="15"/>
      <c r="H47" s="15"/>
      <c r="I47" s="15"/>
    </row>
    <row r="48" spans="1:9" ht="19.5" customHeight="1" x14ac:dyDescent="0.35">
      <c r="A48" s="15"/>
      <c r="B48" s="15"/>
      <c r="C48" s="15"/>
      <c r="D48" s="15"/>
      <c r="E48" s="15"/>
      <c r="F48" s="15"/>
      <c r="G48" s="15"/>
      <c r="H48" s="15"/>
      <c r="I48" s="15"/>
    </row>
    <row r="49" spans="1:9" ht="19.5" customHeight="1" x14ac:dyDescent="0.35">
      <c r="A49" s="15"/>
      <c r="B49" s="15"/>
      <c r="C49" s="15"/>
      <c r="D49" s="15"/>
      <c r="E49" s="15"/>
      <c r="F49" s="15"/>
      <c r="G49" s="15"/>
      <c r="H49" s="15"/>
      <c r="I49" s="15"/>
    </row>
    <row r="50" spans="1:9" ht="19.5" customHeight="1" x14ac:dyDescent="0.35">
      <c r="A50" s="15"/>
      <c r="B50" s="15"/>
      <c r="C50" s="15"/>
      <c r="D50" s="15"/>
      <c r="E50" s="15"/>
      <c r="F50" s="15"/>
      <c r="G50" s="15"/>
      <c r="H50" s="15"/>
      <c r="I50" s="15"/>
    </row>
    <row r="51" spans="1:9" ht="19.5" customHeight="1" x14ac:dyDescent="0.35">
      <c r="A51" s="15"/>
      <c r="B51" s="15"/>
      <c r="C51" s="15"/>
      <c r="D51" s="15"/>
      <c r="E51" s="15"/>
      <c r="F51" s="15"/>
      <c r="G51" s="15"/>
      <c r="H51" s="15"/>
      <c r="I51" s="15"/>
    </row>
    <row r="52" spans="1:9" ht="19.5" customHeight="1" x14ac:dyDescent="0.35">
      <c r="A52" s="15"/>
      <c r="B52" s="15"/>
      <c r="C52" s="15"/>
      <c r="D52" s="15"/>
      <c r="E52" s="15"/>
      <c r="F52" s="15"/>
      <c r="G52" s="15"/>
      <c r="H52" s="15"/>
      <c r="I52" s="15"/>
    </row>
    <row r="53" spans="1:9" ht="19.5" customHeight="1" x14ac:dyDescent="0.35">
      <c r="A53" s="15"/>
      <c r="B53" s="15"/>
      <c r="C53" s="15"/>
      <c r="D53" s="15"/>
      <c r="E53" s="15"/>
      <c r="F53" s="15"/>
      <c r="G53" s="15"/>
      <c r="H53" s="15"/>
      <c r="I53" s="15"/>
    </row>
    <row r="54" spans="1:9" ht="19.5" customHeight="1" x14ac:dyDescent="0.35">
      <c r="A54" s="15"/>
      <c r="B54" s="15"/>
      <c r="C54" s="15"/>
      <c r="D54" s="15"/>
      <c r="E54" s="15"/>
      <c r="F54" s="15"/>
      <c r="G54" s="15"/>
      <c r="H54" s="15"/>
      <c r="I54" s="15"/>
    </row>
    <row r="55" spans="1:9" ht="19.5" customHeight="1" x14ac:dyDescent="0.35">
      <c r="A55" s="15"/>
      <c r="B55" s="15"/>
      <c r="C55" s="15"/>
      <c r="D55" s="15"/>
      <c r="E55" s="15"/>
      <c r="F55" s="15"/>
      <c r="G55" s="15"/>
      <c r="H55" s="15"/>
      <c r="I55" s="15"/>
    </row>
    <row r="56" spans="1:9" ht="19.5" customHeight="1" x14ac:dyDescent="0.35">
      <c r="A56" s="15"/>
      <c r="B56" s="15"/>
      <c r="C56" s="15"/>
      <c r="D56" s="15"/>
      <c r="E56" s="15"/>
      <c r="F56" s="15"/>
      <c r="G56" s="15"/>
      <c r="H56" s="15"/>
      <c r="I56" s="15"/>
    </row>
    <row r="57" spans="1:9" ht="19.5" customHeight="1" x14ac:dyDescent="0.35">
      <c r="A57" s="15"/>
      <c r="B57" s="15"/>
      <c r="C57" s="15"/>
      <c r="D57" s="15"/>
      <c r="E57" s="15"/>
      <c r="F57" s="15"/>
      <c r="G57" s="15"/>
      <c r="H57" s="15"/>
      <c r="I57" s="15"/>
    </row>
    <row r="58" spans="1:9" ht="19.5" customHeight="1" x14ac:dyDescent="0.35">
      <c r="A58" s="15"/>
      <c r="B58" s="15"/>
      <c r="C58" s="15"/>
      <c r="D58" s="15"/>
      <c r="E58" s="15"/>
      <c r="F58" s="15"/>
      <c r="G58" s="15"/>
      <c r="H58" s="15"/>
      <c r="I58" s="15"/>
    </row>
    <row r="59" spans="1:9" ht="19.5" customHeight="1" x14ac:dyDescent="0.35">
      <c r="A59" s="15"/>
      <c r="B59" s="15"/>
      <c r="C59" s="15"/>
      <c r="D59" s="15"/>
      <c r="E59" s="15"/>
      <c r="F59" s="15"/>
      <c r="G59" s="15"/>
      <c r="H59" s="15"/>
      <c r="I59" s="15"/>
    </row>
    <row r="60" spans="1:9" ht="19.5" customHeight="1" x14ac:dyDescent="0.35">
      <c r="A60" s="15"/>
      <c r="B60" s="15"/>
      <c r="C60" s="15"/>
      <c r="D60" s="15"/>
      <c r="E60" s="15"/>
      <c r="F60" s="15"/>
      <c r="G60" s="15"/>
      <c r="H60" s="15"/>
      <c r="I60" s="15"/>
    </row>
    <row r="61" spans="1:9" ht="19.5" customHeight="1" x14ac:dyDescent="0.35">
      <c r="A61" s="15"/>
      <c r="B61" s="15"/>
      <c r="C61" s="15"/>
      <c r="D61" s="15"/>
      <c r="E61" s="15"/>
      <c r="F61" s="15"/>
      <c r="G61" s="15"/>
      <c r="H61" s="15"/>
      <c r="I61" s="15"/>
    </row>
    <row r="62" spans="1:9" ht="19.5" customHeight="1" x14ac:dyDescent="0.35">
      <c r="A62" s="15"/>
      <c r="B62" s="15"/>
      <c r="C62" s="15"/>
      <c r="D62" s="15"/>
      <c r="E62" s="15"/>
      <c r="F62" s="15"/>
      <c r="G62" s="15"/>
      <c r="H62" s="15"/>
      <c r="I62" s="15"/>
    </row>
    <row r="63" spans="1:9" ht="19.5" customHeight="1" x14ac:dyDescent="0.35">
      <c r="A63" s="15"/>
      <c r="B63" s="15"/>
      <c r="C63" s="15"/>
      <c r="D63" s="15"/>
      <c r="E63" s="15"/>
      <c r="F63" s="15"/>
      <c r="G63" s="15"/>
      <c r="H63" s="15"/>
      <c r="I63" s="15"/>
    </row>
    <row r="64" spans="1:9" ht="19.5" customHeight="1" x14ac:dyDescent="0.35">
      <c r="A64" s="15"/>
      <c r="B64" s="15"/>
      <c r="C64" s="15"/>
      <c r="D64" s="15"/>
      <c r="E64" s="15"/>
      <c r="F64" s="15"/>
      <c r="G64" s="15"/>
      <c r="H64" s="15"/>
      <c r="I64" s="15"/>
    </row>
    <row r="65" spans="1:9" ht="19.5" customHeight="1" x14ac:dyDescent="0.35">
      <c r="A65" s="15"/>
      <c r="B65" s="15"/>
      <c r="C65" s="15"/>
      <c r="D65" s="15"/>
      <c r="E65" s="15"/>
      <c r="F65" s="15"/>
      <c r="G65" s="15"/>
      <c r="H65" s="15"/>
      <c r="I65" s="15"/>
    </row>
    <row r="66" spans="1:9" ht="19.5" customHeight="1" x14ac:dyDescent="0.35">
      <c r="A66" s="15"/>
      <c r="B66" s="15"/>
      <c r="C66" s="15"/>
      <c r="D66" s="15"/>
      <c r="E66" s="15"/>
      <c r="F66" s="15"/>
      <c r="G66" s="15"/>
      <c r="H66" s="15"/>
      <c r="I66" s="15"/>
    </row>
    <row r="67" spans="1:9" ht="19.5" customHeight="1" x14ac:dyDescent="0.35">
      <c r="A67" s="15"/>
      <c r="B67" s="15"/>
      <c r="C67" s="15"/>
      <c r="D67" s="15"/>
      <c r="E67" s="15"/>
      <c r="F67" s="15"/>
      <c r="G67" s="15"/>
      <c r="H67" s="15"/>
      <c r="I67" s="15"/>
    </row>
    <row r="68" spans="1:9" ht="19.5" customHeight="1" x14ac:dyDescent="0.35">
      <c r="A68" s="15"/>
      <c r="B68" s="15"/>
      <c r="C68" s="15"/>
      <c r="D68" s="15"/>
      <c r="E68" s="15"/>
      <c r="F68" s="15"/>
      <c r="G68" s="15"/>
      <c r="H68" s="15"/>
      <c r="I68" s="15"/>
    </row>
    <row r="69" spans="1:9" ht="19.5" customHeight="1" x14ac:dyDescent="0.35">
      <c r="A69" s="15"/>
      <c r="B69" s="15"/>
      <c r="C69" s="15"/>
      <c r="D69" s="15"/>
      <c r="E69" s="15"/>
      <c r="F69" s="15"/>
      <c r="G69" s="15"/>
      <c r="H69" s="15"/>
      <c r="I69" s="15"/>
    </row>
    <row r="70" spans="1:9" ht="19.5" customHeight="1" x14ac:dyDescent="0.35">
      <c r="A70" s="15"/>
      <c r="B70" s="15"/>
      <c r="C70" s="15"/>
      <c r="D70" s="15"/>
      <c r="E70" s="15"/>
      <c r="F70" s="15"/>
      <c r="G70" s="15"/>
      <c r="H70" s="15"/>
      <c r="I70" s="15"/>
    </row>
    <row r="71" spans="1:9" ht="19.5" customHeight="1" x14ac:dyDescent="0.35">
      <c r="A71" s="15"/>
      <c r="B71" s="15"/>
      <c r="C71" s="15"/>
      <c r="D71" s="15"/>
      <c r="E71" s="15"/>
      <c r="F71" s="15"/>
      <c r="G71" s="15"/>
      <c r="H71" s="15"/>
      <c r="I71" s="15"/>
    </row>
    <row r="72" spans="1:9" ht="19.5" customHeight="1" x14ac:dyDescent="0.35">
      <c r="A72" s="15"/>
      <c r="B72" s="15"/>
      <c r="C72" s="15"/>
      <c r="D72" s="15"/>
      <c r="E72" s="15"/>
      <c r="F72" s="15"/>
      <c r="G72" s="15"/>
      <c r="H72" s="15"/>
      <c r="I72" s="15"/>
    </row>
    <row r="73" spans="1:9" ht="19.5" customHeight="1" x14ac:dyDescent="0.35">
      <c r="A73" s="15"/>
      <c r="B73" s="15"/>
      <c r="C73" s="15"/>
      <c r="D73" s="15"/>
      <c r="E73" s="15"/>
      <c r="F73" s="15"/>
      <c r="G73" s="15"/>
      <c r="H73" s="15"/>
      <c r="I73" s="15"/>
    </row>
    <row r="74" spans="1:9" ht="19.5" customHeight="1" x14ac:dyDescent="0.35">
      <c r="A74" s="15"/>
      <c r="B74" s="15"/>
      <c r="C74" s="15"/>
      <c r="D74" s="15"/>
      <c r="E74" s="15"/>
      <c r="F74" s="15"/>
      <c r="G74" s="15"/>
      <c r="H74" s="15"/>
      <c r="I74" s="15"/>
    </row>
    <row r="75" spans="1:9" ht="19.5" customHeight="1" x14ac:dyDescent="0.35">
      <c r="A75" s="15"/>
      <c r="B75" s="15"/>
      <c r="C75" s="15"/>
      <c r="D75" s="15"/>
      <c r="E75" s="15"/>
      <c r="F75" s="15"/>
      <c r="G75" s="15"/>
      <c r="H75" s="15"/>
      <c r="I75" s="15"/>
    </row>
    <row r="76" spans="1:9" ht="19.5" customHeight="1" x14ac:dyDescent="0.35">
      <c r="A76" s="15"/>
      <c r="B76" s="15"/>
      <c r="C76" s="15"/>
      <c r="D76" s="15"/>
      <c r="E76" s="15"/>
      <c r="F76" s="15"/>
      <c r="G76" s="15"/>
      <c r="H76" s="15"/>
      <c r="I76" s="15"/>
    </row>
    <row r="77" spans="1:9" ht="19.5" customHeight="1" x14ac:dyDescent="0.35">
      <c r="A77" s="15"/>
      <c r="B77" s="15"/>
      <c r="C77" s="15"/>
      <c r="D77" s="15"/>
      <c r="E77" s="15"/>
      <c r="F77" s="15"/>
      <c r="G77" s="15"/>
      <c r="H77" s="15"/>
      <c r="I77" s="15"/>
    </row>
    <row r="78" spans="1:9" ht="19.5" customHeight="1" x14ac:dyDescent="0.35">
      <c r="A78" s="15"/>
      <c r="B78" s="15"/>
      <c r="C78" s="15"/>
      <c r="D78" s="15"/>
      <c r="E78" s="15"/>
      <c r="F78" s="15"/>
      <c r="G78" s="15"/>
      <c r="H78" s="15"/>
      <c r="I78" s="15"/>
    </row>
    <row r="79" spans="1:9" ht="19.5" customHeight="1" x14ac:dyDescent="0.35">
      <c r="A79" s="15"/>
      <c r="B79" s="15"/>
      <c r="C79" s="15"/>
      <c r="D79" s="15"/>
      <c r="E79" s="15"/>
      <c r="F79" s="15"/>
      <c r="G79" s="15"/>
      <c r="H79" s="15"/>
      <c r="I79" s="15"/>
    </row>
    <row r="80" spans="1:9" ht="19.5" customHeight="1" x14ac:dyDescent="0.35">
      <c r="A80" s="15"/>
      <c r="B80" s="15"/>
      <c r="C80" s="15"/>
      <c r="D80" s="15"/>
      <c r="E80" s="15"/>
      <c r="F80" s="15"/>
      <c r="G80" s="15"/>
      <c r="H80" s="15"/>
      <c r="I80" s="15"/>
    </row>
    <row r="81" spans="1:9" ht="19.5" customHeight="1" x14ac:dyDescent="0.35">
      <c r="A81" s="15"/>
      <c r="B81" s="15"/>
      <c r="C81" s="15"/>
      <c r="D81" s="15"/>
      <c r="E81" s="15"/>
      <c r="F81" s="15"/>
      <c r="G81" s="15"/>
      <c r="H81" s="15"/>
      <c r="I81" s="15"/>
    </row>
    <row r="82" spans="1:9" ht="19.5" customHeight="1" x14ac:dyDescent="0.35">
      <c r="A82" s="15"/>
      <c r="B82" s="15"/>
      <c r="C82" s="15"/>
      <c r="D82" s="15"/>
      <c r="E82" s="15"/>
      <c r="F82" s="15"/>
      <c r="G82" s="15"/>
      <c r="H82" s="15"/>
      <c r="I82" s="15"/>
    </row>
    <row r="83" spans="1:9" ht="19.5" customHeight="1" x14ac:dyDescent="0.35">
      <c r="A83" s="15"/>
      <c r="B83" s="15"/>
      <c r="C83" s="15"/>
      <c r="D83" s="15"/>
      <c r="E83" s="15"/>
      <c r="F83" s="15"/>
      <c r="G83" s="15"/>
      <c r="H83" s="15"/>
      <c r="I83" s="15"/>
    </row>
    <row r="84" spans="1:9" ht="19.5" customHeight="1" x14ac:dyDescent="0.35">
      <c r="A84" s="15"/>
      <c r="B84" s="15"/>
      <c r="C84" s="15"/>
      <c r="D84" s="15"/>
      <c r="E84" s="15"/>
      <c r="F84" s="15"/>
      <c r="G84" s="15"/>
      <c r="H84" s="15"/>
      <c r="I84" s="15"/>
    </row>
    <row r="85" spans="1:9" ht="19.5" customHeight="1" x14ac:dyDescent="0.35">
      <c r="A85" s="15"/>
      <c r="B85" s="15"/>
      <c r="C85" s="15"/>
      <c r="D85" s="15"/>
      <c r="E85" s="15"/>
      <c r="F85" s="15"/>
      <c r="G85" s="15"/>
      <c r="H85" s="15"/>
      <c r="I85" s="15"/>
    </row>
  </sheetData>
  <mergeCells count="14">
    <mergeCell ref="D27:F27"/>
    <mergeCell ref="B29:F29"/>
    <mergeCell ref="B30:F30"/>
    <mergeCell ref="B38:F38"/>
    <mergeCell ref="B21:F21"/>
    <mergeCell ref="D23:F23"/>
    <mergeCell ref="D24:F24"/>
    <mergeCell ref="D25:F25"/>
    <mergeCell ref="D26:F26"/>
    <mergeCell ref="B2:F2"/>
    <mergeCell ref="B3:F3"/>
    <mergeCell ref="B5:F5"/>
    <mergeCell ref="B6:F6"/>
    <mergeCell ref="B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AB308"/>
  </sheetPr>
  <dimension ref="A1:I110"/>
  <sheetViews>
    <sheetView showGridLines="0" tabSelected="1" topLeftCell="A45" zoomScaleNormal="100" workbookViewId="0"/>
  </sheetViews>
  <sheetFormatPr baseColWidth="10" defaultColWidth="8.6328125" defaultRowHeight="14.5" x14ac:dyDescent="0.35"/>
  <cols>
    <col min="1" max="1" width="2" customWidth="1"/>
    <col min="2" max="2" width="22" customWidth="1"/>
    <col min="3" max="3" width="30" customWidth="1"/>
    <col min="4" max="6" width="12" customWidth="1"/>
    <col min="7" max="7" width="20" customWidth="1"/>
    <col min="8" max="8" width="2" customWidth="1"/>
  </cols>
  <sheetData>
    <row r="1" spans="1:9" ht="19.5" customHeight="1" x14ac:dyDescent="0.35">
      <c r="A1" s="15"/>
      <c r="B1" s="15"/>
      <c r="C1" s="15"/>
      <c r="D1" s="15"/>
      <c r="E1" s="15"/>
      <c r="F1" s="15"/>
      <c r="G1" s="15"/>
      <c r="H1" s="15"/>
      <c r="I1" s="15"/>
    </row>
    <row r="2" spans="1:9" ht="39.75" customHeight="1" x14ac:dyDescent="0.35">
      <c r="A2" s="15"/>
      <c r="B2" s="155" t="s">
        <v>478</v>
      </c>
      <c r="C2" s="155"/>
      <c r="D2" s="155"/>
      <c r="E2" s="155"/>
      <c r="F2" s="155"/>
      <c r="G2" s="155"/>
      <c r="H2" s="15"/>
      <c r="I2" s="15"/>
    </row>
    <row r="3" spans="1:9" ht="18" customHeight="1" x14ac:dyDescent="0.35">
      <c r="A3" s="15"/>
      <c r="B3" s="149" t="s">
        <v>479</v>
      </c>
      <c r="C3" s="149"/>
      <c r="D3" s="149"/>
      <c r="E3" s="149"/>
      <c r="F3" s="149"/>
      <c r="G3" s="149"/>
      <c r="H3" s="15"/>
      <c r="I3" s="15"/>
    </row>
    <row r="4" spans="1:9" ht="19.5" customHeight="1" x14ac:dyDescent="0.35">
      <c r="A4" s="15"/>
      <c r="B4" s="15"/>
      <c r="C4" s="15"/>
      <c r="D4" s="15"/>
      <c r="E4" s="15"/>
      <c r="F4" s="15"/>
      <c r="G4" s="15"/>
      <c r="H4" s="15"/>
      <c r="I4" s="15"/>
    </row>
    <row r="5" spans="1:9" ht="27.75" customHeight="1" x14ac:dyDescent="0.35">
      <c r="A5" s="15"/>
      <c r="B5" s="152" t="s">
        <v>480</v>
      </c>
      <c r="C5" s="152"/>
      <c r="D5" s="152"/>
      <c r="E5" s="152"/>
      <c r="F5" s="152"/>
      <c r="G5" s="152"/>
      <c r="H5" s="15"/>
      <c r="I5" s="15"/>
    </row>
    <row r="6" spans="1:9" ht="43.5" customHeight="1" x14ac:dyDescent="0.35">
      <c r="A6" s="15"/>
      <c r="B6" s="151" t="s">
        <v>481</v>
      </c>
      <c r="C6" s="151"/>
      <c r="D6" s="151"/>
      <c r="E6" s="151"/>
      <c r="F6" s="151"/>
      <c r="G6" s="151"/>
      <c r="H6" s="15"/>
      <c r="I6" s="15"/>
    </row>
    <row r="7" spans="1:9" ht="19.5" customHeight="1" x14ac:dyDescent="0.35">
      <c r="A7" s="15"/>
      <c r="B7" s="15"/>
      <c r="C7" s="15"/>
      <c r="D7" s="15"/>
      <c r="E7" s="15"/>
      <c r="F7" s="15"/>
      <c r="G7" s="15"/>
      <c r="H7" s="15"/>
      <c r="I7" s="15"/>
    </row>
    <row r="8" spans="1:9" ht="27.75" customHeight="1" x14ac:dyDescent="0.35">
      <c r="A8" s="15"/>
      <c r="B8" s="150" t="s">
        <v>482</v>
      </c>
      <c r="C8" s="150"/>
      <c r="D8" s="150"/>
      <c r="E8" s="150"/>
      <c r="F8" s="150"/>
      <c r="G8" s="150"/>
      <c r="H8" s="15"/>
      <c r="I8" s="15"/>
    </row>
    <row r="9" spans="1:9" ht="21.75" customHeight="1" x14ac:dyDescent="0.35">
      <c r="A9" s="15"/>
      <c r="B9" s="86" t="s">
        <v>483</v>
      </c>
      <c r="C9" s="86" t="s">
        <v>313</v>
      </c>
      <c r="D9" s="86" t="s">
        <v>316</v>
      </c>
      <c r="E9" s="86" t="s">
        <v>319</v>
      </c>
      <c r="F9" s="86" t="s">
        <v>484</v>
      </c>
      <c r="G9" s="15"/>
      <c r="H9" s="15"/>
      <c r="I9" s="15"/>
    </row>
    <row r="10" spans="1:9" ht="25.5" customHeight="1" x14ac:dyDescent="0.35">
      <c r="A10" s="15"/>
      <c r="B10" s="113" t="s">
        <v>485</v>
      </c>
      <c r="C10" s="31" t="s">
        <v>486</v>
      </c>
      <c r="D10" s="97" t="s">
        <v>487</v>
      </c>
      <c r="E10" s="58" t="s">
        <v>488</v>
      </c>
      <c r="F10" s="114" t="s">
        <v>489</v>
      </c>
      <c r="G10" s="15"/>
      <c r="H10" s="15"/>
      <c r="I10" s="15"/>
    </row>
    <row r="11" spans="1:9" ht="25.5" customHeight="1" x14ac:dyDescent="0.35">
      <c r="A11" s="15"/>
      <c r="B11" s="115" t="s">
        <v>490</v>
      </c>
      <c r="C11" s="39" t="s">
        <v>491</v>
      </c>
      <c r="D11" s="99" t="s">
        <v>492</v>
      </c>
      <c r="E11" s="63" t="s">
        <v>493</v>
      </c>
      <c r="F11" s="116" t="s">
        <v>494</v>
      </c>
      <c r="G11" s="15"/>
      <c r="H11" s="15"/>
      <c r="I11" s="15"/>
    </row>
    <row r="12" spans="1:9" ht="25.5" customHeight="1" x14ac:dyDescent="0.35">
      <c r="A12" s="15"/>
      <c r="B12" s="113" t="s">
        <v>495</v>
      </c>
      <c r="C12" s="31" t="s">
        <v>496</v>
      </c>
      <c r="D12" s="97" t="s">
        <v>496</v>
      </c>
      <c r="E12" s="58" t="s">
        <v>496</v>
      </c>
      <c r="F12" s="114" t="s">
        <v>497</v>
      </c>
      <c r="G12" s="15"/>
      <c r="H12" s="15"/>
      <c r="I12" s="15"/>
    </row>
    <row r="13" spans="1:9" ht="25.5" customHeight="1" x14ac:dyDescent="0.35">
      <c r="A13" s="15"/>
      <c r="B13" s="115" t="s">
        <v>68</v>
      </c>
      <c r="C13" s="39" t="s">
        <v>82</v>
      </c>
      <c r="D13" s="99" t="s">
        <v>102</v>
      </c>
      <c r="E13" s="63" t="s">
        <v>75</v>
      </c>
      <c r="F13" s="116" t="s">
        <v>498</v>
      </c>
      <c r="G13" s="15"/>
      <c r="H13" s="15"/>
      <c r="I13" s="15"/>
    </row>
    <row r="14" spans="1:9" ht="25.5" customHeight="1" x14ac:dyDescent="0.35">
      <c r="A14" s="15"/>
      <c r="B14" s="113" t="s">
        <v>499</v>
      </c>
      <c r="C14" s="31" t="s">
        <v>500</v>
      </c>
      <c r="D14" s="97" t="s">
        <v>501</v>
      </c>
      <c r="E14" s="58" t="s">
        <v>502</v>
      </c>
      <c r="F14" s="114" t="s">
        <v>503</v>
      </c>
      <c r="G14" s="15"/>
      <c r="H14" s="15"/>
      <c r="I14" s="15"/>
    </row>
    <row r="15" spans="1:9" ht="19.5" customHeight="1" x14ac:dyDescent="0.35">
      <c r="A15" s="15"/>
      <c r="B15" s="15"/>
      <c r="C15" s="15"/>
      <c r="D15" s="15"/>
      <c r="E15" s="15"/>
      <c r="F15" s="15"/>
      <c r="G15" s="15"/>
      <c r="H15" s="15"/>
      <c r="I15" s="15"/>
    </row>
    <row r="16" spans="1:9" ht="27.75" customHeight="1" x14ac:dyDescent="0.35">
      <c r="A16" s="15"/>
      <c r="B16" s="152" t="s">
        <v>504</v>
      </c>
      <c r="C16" s="152"/>
      <c r="D16" s="152"/>
      <c r="E16" s="152"/>
      <c r="F16" s="152"/>
      <c r="G16" s="152"/>
      <c r="H16" s="15"/>
      <c r="I16" s="15"/>
    </row>
    <row r="17" spans="1:9" ht="21.75" customHeight="1" x14ac:dyDescent="0.35">
      <c r="A17" s="15"/>
      <c r="B17" s="86" t="s">
        <v>63</v>
      </c>
      <c r="C17" s="86" t="s">
        <v>64</v>
      </c>
      <c r="D17" s="86" t="s">
        <v>505</v>
      </c>
      <c r="E17" s="86" t="s">
        <v>506</v>
      </c>
      <c r="F17" s="86" t="s">
        <v>507</v>
      </c>
      <c r="G17" s="15"/>
      <c r="H17" s="15"/>
      <c r="I17" s="15"/>
    </row>
    <row r="18" spans="1:9" ht="55.5" customHeight="1" x14ac:dyDescent="0.35">
      <c r="A18" s="15"/>
      <c r="B18" s="117" t="s">
        <v>508</v>
      </c>
      <c r="C18" s="33" t="s">
        <v>509</v>
      </c>
      <c r="D18" s="97" t="s">
        <v>510</v>
      </c>
      <c r="E18" s="118" t="s">
        <v>511</v>
      </c>
      <c r="F18" s="156" t="s">
        <v>512</v>
      </c>
      <c r="G18" s="156"/>
      <c r="H18" s="15"/>
      <c r="I18" s="15"/>
    </row>
    <row r="19" spans="1:9" ht="55.5" customHeight="1" x14ac:dyDescent="0.35">
      <c r="A19" s="15"/>
      <c r="B19" s="119" t="s">
        <v>513</v>
      </c>
      <c r="C19" s="41" t="s">
        <v>514</v>
      </c>
      <c r="D19" s="99" t="s">
        <v>515</v>
      </c>
      <c r="E19" s="120" t="s">
        <v>516</v>
      </c>
      <c r="F19" s="157" t="s">
        <v>517</v>
      </c>
      <c r="G19" s="157"/>
      <c r="H19" s="15"/>
      <c r="I19" s="15"/>
    </row>
    <row r="20" spans="1:9" ht="55.5" customHeight="1" x14ac:dyDescent="0.35">
      <c r="A20" s="15"/>
      <c r="B20" s="117" t="s">
        <v>518</v>
      </c>
      <c r="C20" s="33" t="s">
        <v>519</v>
      </c>
      <c r="D20" s="97" t="s">
        <v>520</v>
      </c>
      <c r="E20" s="118" t="s">
        <v>521</v>
      </c>
      <c r="F20" s="156" t="s">
        <v>522</v>
      </c>
      <c r="G20" s="156"/>
      <c r="H20" s="15"/>
      <c r="I20" s="15"/>
    </row>
    <row r="21" spans="1:9" ht="55.5" customHeight="1" x14ac:dyDescent="0.35">
      <c r="A21" s="15"/>
      <c r="B21" s="119" t="s">
        <v>523</v>
      </c>
      <c r="C21" s="41" t="s">
        <v>524</v>
      </c>
      <c r="D21" s="99" t="s">
        <v>525</v>
      </c>
      <c r="E21" s="120" t="s">
        <v>521</v>
      </c>
      <c r="F21" s="157" t="s">
        <v>526</v>
      </c>
      <c r="G21" s="157"/>
      <c r="H21" s="15"/>
      <c r="I21" s="15"/>
    </row>
    <row r="22" spans="1:9" ht="19.5" customHeight="1" x14ac:dyDescent="0.35">
      <c r="A22" s="15"/>
      <c r="B22" s="15"/>
      <c r="C22" s="15"/>
      <c r="D22" s="15"/>
      <c r="E22" s="15"/>
      <c r="F22" s="15"/>
      <c r="G22" s="15"/>
      <c r="H22" s="15"/>
      <c r="I22" s="15"/>
    </row>
    <row r="23" spans="1:9" ht="27.75" customHeight="1" x14ac:dyDescent="0.35">
      <c r="A23" s="15"/>
      <c r="B23" s="150" t="s">
        <v>527</v>
      </c>
      <c r="C23" s="150"/>
      <c r="D23" s="150"/>
      <c r="E23" s="150"/>
      <c r="F23" s="150"/>
      <c r="G23" s="150"/>
      <c r="H23" s="15"/>
      <c r="I23" s="15"/>
    </row>
    <row r="24" spans="1:9" ht="31.5" customHeight="1" x14ac:dyDescent="0.35">
      <c r="A24" s="15"/>
      <c r="B24" s="102" t="s">
        <v>34</v>
      </c>
      <c r="C24" s="151" t="s">
        <v>528</v>
      </c>
      <c r="D24" s="151"/>
      <c r="E24" s="151"/>
      <c r="F24" s="151"/>
      <c r="G24" s="151"/>
      <c r="H24" s="15"/>
      <c r="I24" s="15"/>
    </row>
    <row r="25" spans="1:9" ht="31.5" customHeight="1" x14ac:dyDescent="0.35">
      <c r="A25" s="15"/>
      <c r="B25" s="104" t="s">
        <v>529</v>
      </c>
      <c r="C25" s="158" t="s">
        <v>530</v>
      </c>
      <c r="D25" s="158"/>
      <c r="E25" s="158"/>
      <c r="F25" s="158"/>
      <c r="G25" s="158"/>
      <c r="H25" s="15"/>
      <c r="I25" s="15"/>
    </row>
    <row r="26" spans="1:9" ht="31.5" customHeight="1" x14ac:dyDescent="0.35">
      <c r="A26" s="15"/>
      <c r="B26" s="102" t="s">
        <v>531</v>
      </c>
      <c r="C26" s="151" t="s">
        <v>532</v>
      </c>
      <c r="D26" s="151"/>
      <c r="E26" s="151"/>
      <c r="F26" s="151"/>
      <c r="G26" s="151"/>
      <c r="H26" s="15"/>
      <c r="I26" s="15"/>
    </row>
    <row r="27" spans="1:9" ht="31.5" customHeight="1" x14ac:dyDescent="0.35">
      <c r="A27" s="15"/>
      <c r="B27" s="103" t="s">
        <v>533</v>
      </c>
      <c r="C27" s="158" t="s">
        <v>534</v>
      </c>
      <c r="D27" s="158"/>
      <c r="E27" s="158"/>
      <c r="F27" s="158"/>
      <c r="G27" s="158"/>
      <c r="H27" s="15"/>
      <c r="I27" s="15"/>
    </row>
    <row r="28" spans="1:9" ht="19.5" customHeight="1" x14ac:dyDescent="0.35">
      <c r="A28" s="15"/>
      <c r="B28" s="15"/>
      <c r="C28" s="15"/>
      <c r="D28" s="15"/>
      <c r="E28" s="15"/>
      <c r="F28" s="15"/>
      <c r="G28" s="15"/>
      <c r="H28" s="15"/>
      <c r="I28" s="15"/>
    </row>
    <row r="29" spans="1:9" ht="27.75" customHeight="1" x14ac:dyDescent="0.35">
      <c r="A29" s="15"/>
      <c r="B29" s="152" t="s">
        <v>535</v>
      </c>
      <c r="C29" s="152"/>
      <c r="D29" s="152"/>
      <c r="E29" s="152"/>
      <c r="F29" s="152"/>
      <c r="G29" s="152"/>
      <c r="H29" s="15"/>
      <c r="I29" s="15"/>
    </row>
    <row r="30" spans="1:9" ht="36" customHeight="1" x14ac:dyDescent="0.35">
      <c r="A30" s="15"/>
      <c r="B30" s="151" t="s">
        <v>536</v>
      </c>
      <c r="C30" s="151"/>
      <c r="D30" s="151"/>
      <c r="E30" s="151"/>
      <c r="F30" s="151"/>
      <c r="G30" s="151"/>
      <c r="H30" s="15"/>
      <c r="I30" s="15"/>
    </row>
    <row r="31" spans="1:9" ht="19.5" customHeight="1" x14ac:dyDescent="0.35">
      <c r="A31" s="15"/>
      <c r="B31" s="15"/>
      <c r="C31" s="15"/>
      <c r="D31" s="15"/>
      <c r="E31" s="15"/>
      <c r="F31" s="15"/>
      <c r="G31" s="15"/>
      <c r="H31" s="15"/>
      <c r="I31" s="15"/>
    </row>
    <row r="32" spans="1:9" ht="21.75" customHeight="1" x14ac:dyDescent="0.35">
      <c r="A32" s="15"/>
      <c r="B32" s="86" t="s">
        <v>63</v>
      </c>
      <c r="C32" s="86" t="s">
        <v>64</v>
      </c>
      <c r="D32" s="86" t="s">
        <v>505</v>
      </c>
      <c r="E32" s="86" t="s">
        <v>68</v>
      </c>
      <c r="F32" s="86" t="s">
        <v>537</v>
      </c>
      <c r="G32" s="86" t="s">
        <v>538</v>
      </c>
      <c r="H32" s="15"/>
      <c r="I32" s="15"/>
    </row>
    <row r="33" spans="1:9" ht="43.5" customHeight="1" x14ac:dyDescent="0.35">
      <c r="A33" s="15"/>
      <c r="B33" s="117" t="s">
        <v>539</v>
      </c>
      <c r="C33" s="33" t="s">
        <v>540</v>
      </c>
      <c r="D33" s="97" t="s">
        <v>541</v>
      </c>
      <c r="E33" s="64" t="s">
        <v>75</v>
      </c>
      <c r="F33" s="121" t="s">
        <v>542</v>
      </c>
      <c r="G33" s="98" t="s">
        <v>543</v>
      </c>
      <c r="H33" s="15"/>
      <c r="I33" s="15"/>
    </row>
    <row r="34" spans="1:9" ht="43.5" customHeight="1" x14ac:dyDescent="0.35">
      <c r="A34" s="15"/>
      <c r="B34" s="119" t="s">
        <v>544</v>
      </c>
      <c r="C34" s="41" t="s">
        <v>540</v>
      </c>
      <c r="D34" s="99" t="s">
        <v>545</v>
      </c>
      <c r="E34" s="66" t="s">
        <v>102</v>
      </c>
      <c r="F34" s="122" t="s">
        <v>546</v>
      </c>
      <c r="G34" s="100" t="s">
        <v>547</v>
      </c>
      <c r="H34" s="15"/>
      <c r="I34" s="15"/>
    </row>
    <row r="35" spans="1:9" ht="43.5" customHeight="1" x14ac:dyDescent="0.35">
      <c r="A35" s="15"/>
      <c r="B35" s="117" t="s">
        <v>548</v>
      </c>
      <c r="C35" s="33" t="s">
        <v>540</v>
      </c>
      <c r="D35" s="97" t="s">
        <v>549</v>
      </c>
      <c r="E35" s="64" t="s">
        <v>550</v>
      </c>
      <c r="F35" s="121" t="s">
        <v>551</v>
      </c>
      <c r="G35" s="98" t="s">
        <v>552</v>
      </c>
      <c r="H35" s="15"/>
      <c r="I35" s="15"/>
    </row>
    <row r="36" spans="1:9" ht="43.5" customHeight="1" x14ac:dyDescent="0.35">
      <c r="A36" s="15"/>
      <c r="B36" s="119" t="s">
        <v>553</v>
      </c>
      <c r="C36" s="41" t="s">
        <v>554</v>
      </c>
      <c r="D36" s="99" t="s">
        <v>555</v>
      </c>
      <c r="E36" s="66" t="s">
        <v>82</v>
      </c>
      <c r="F36" s="122" t="s">
        <v>546</v>
      </c>
      <c r="G36" s="100" t="s">
        <v>556</v>
      </c>
      <c r="H36" s="15"/>
      <c r="I36" s="15"/>
    </row>
    <row r="37" spans="1:9" ht="43.5" customHeight="1" x14ac:dyDescent="0.35">
      <c r="A37" s="15"/>
      <c r="B37" s="117" t="s">
        <v>557</v>
      </c>
      <c r="C37" s="33" t="s">
        <v>558</v>
      </c>
      <c r="D37" s="97" t="s">
        <v>559</v>
      </c>
      <c r="E37" s="64" t="s">
        <v>75</v>
      </c>
      <c r="F37" s="121" t="s">
        <v>560</v>
      </c>
      <c r="G37" s="98" t="s">
        <v>561</v>
      </c>
      <c r="H37" s="15"/>
      <c r="I37" s="15"/>
    </row>
    <row r="38" spans="1:9" ht="19.5" customHeight="1" x14ac:dyDescent="0.35">
      <c r="A38" s="15"/>
      <c r="B38" s="15"/>
      <c r="C38" s="15"/>
      <c r="D38" s="15"/>
      <c r="E38" s="15"/>
      <c r="F38" s="15"/>
      <c r="G38" s="15"/>
      <c r="H38" s="15"/>
      <c r="I38" s="15"/>
    </row>
    <row r="39" spans="1:9" ht="27.75" customHeight="1" x14ac:dyDescent="0.35">
      <c r="A39" s="15"/>
      <c r="B39" s="152" t="s">
        <v>562</v>
      </c>
      <c r="C39" s="152"/>
      <c r="D39" s="152"/>
      <c r="E39" s="152"/>
      <c r="F39" s="152"/>
      <c r="G39" s="152"/>
      <c r="H39" s="15"/>
      <c r="I39" s="15"/>
    </row>
    <row r="40" spans="1:9" ht="43.5" customHeight="1" x14ac:dyDescent="0.35">
      <c r="A40" s="15"/>
      <c r="B40" s="151" t="s">
        <v>563</v>
      </c>
      <c r="C40" s="151"/>
      <c r="D40" s="151"/>
      <c r="E40" s="151"/>
      <c r="F40" s="151"/>
      <c r="G40" s="151"/>
      <c r="H40" s="15"/>
      <c r="I40" s="15"/>
    </row>
    <row r="41" spans="1:9" ht="19.5" customHeight="1" x14ac:dyDescent="0.35">
      <c r="A41" s="15"/>
      <c r="B41" s="15"/>
      <c r="C41" s="15"/>
      <c r="D41" s="15"/>
      <c r="E41" s="15"/>
      <c r="F41" s="15"/>
      <c r="G41" s="15"/>
      <c r="H41" s="15"/>
      <c r="I41" s="15"/>
    </row>
    <row r="42" spans="1:9" ht="21.75" customHeight="1" x14ac:dyDescent="0.35">
      <c r="A42" s="15"/>
      <c r="B42" s="86" t="s">
        <v>63</v>
      </c>
      <c r="C42" s="86" t="s">
        <v>564</v>
      </c>
      <c r="D42" s="86" t="s">
        <v>505</v>
      </c>
      <c r="E42" s="86" t="s">
        <v>68</v>
      </c>
      <c r="F42" s="86" t="s">
        <v>507</v>
      </c>
      <c r="G42" s="15"/>
      <c r="H42" s="15"/>
      <c r="I42" s="15"/>
    </row>
    <row r="43" spans="1:9" ht="48" customHeight="1" x14ac:dyDescent="0.35">
      <c r="A43" s="15"/>
      <c r="B43" s="117" t="s">
        <v>565</v>
      </c>
      <c r="C43" s="33" t="s">
        <v>566</v>
      </c>
      <c r="D43" s="97" t="s">
        <v>567</v>
      </c>
      <c r="E43" s="64" t="s">
        <v>102</v>
      </c>
      <c r="F43" s="156" t="s">
        <v>568</v>
      </c>
      <c r="G43" s="156"/>
      <c r="H43" s="15"/>
      <c r="I43" s="15"/>
    </row>
    <row r="44" spans="1:9" ht="48" customHeight="1" x14ac:dyDescent="0.35">
      <c r="A44" s="15"/>
      <c r="B44" s="119" t="s">
        <v>569</v>
      </c>
      <c r="C44" s="41" t="s">
        <v>570</v>
      </c>
      <c r="D44" s="99" t="s">
        <v>571</v>
      </c>
      <c r="E44" s="66" t="s">
        <v>102</v>
      </c>
      <c r="F44" s="157" t="s">
        <v>572</v>
      </c>
      <c r="G44" s="157"/>
      <c r="H44" s="15"/>
      <c r="I44" s="15"/>
    </row>
    <row r="45" spans="1:9" ht="48" customHeight="1" x14ac:dyDescent="0.35">
      <c r="A45" s="15"/>
      <c r="B45" s="117" t="s">
        <v>573</v>
      </c>
      <c r="C45" s="33" t="s">
        <v>574</v>
      </c>
      <c r="D45" s="97" t="s">
        <v>575</v>
      </c>
      <c r="E45" s="64" t="s">
        <v>75</v>
      </c>
      <c r="F45" s="156" t="s">
        <v>576</v>
      </c>
      <c r="G45" s="156"/>
      <c r="H45" s="15"/>
      <c r="I45" s="15"/>
    </row>
    <row r="46" spans="1:9" ht="48" customHeight="1" x14ac:dyDescent="0.35">
      <c r="A46" s="15"/>
      <c r="B46" s="119" t="s">
        <v>577</v>
      </c>
      <c r="C46" s="41" t="s">
        <v>578</v>
      </c>
      <c r="D46" s="99" t="s">
        <v>579</v>
      </c>
      <c r="E46" s="66" t="s">
        <v>75</v>
      </c>
      <c r="F46" s="157" t="s">
        <v>580</v>
      </c>
      <c r="G46" s="157"/>
      <c r="H46" s="15"/>
      <c r="I46" s="15"/>
    </row>
    <row r="47" spans="1:9" ht="48" customHeight="1" x14ac:dyDescent="0.35">
      <c r="A47" s="15"/>
      <c r="B47" s="117" t="s">
        <v>581</v>
      </c>
      <c r="C47" s="33" t="s">
        <v>582</v>
      </c>
      <c r="D47" s="97" t="s">
        <v>583</v>
      </c>
      <c r="E47" s="64" t="s">
        <v>82</v>
      </c>
      <c r="F47" s="156" t="s">
        <v>584</v>
      </c>
      <c r="G47" s="156"/>
      <c r="H47" s="15"/>
      <c r="I47" s="15"/>
    </row>
    <row r="48" spans="1:9" ht="48" customHeight="1" x14ac:dyDescent="0.35">
      <c r="A48" s="15"/>
      <c r="B48" s="119" t="s">
        <v>585</v>
      </c>
      <c r="C48" s="41" t="s">
        <v>586</v>
      </c>
      <c r="D48" s="99" t="s">
        <v>583</v>
      </c>
      <c r="E48" s="66" t="s">
        <v>82</v>
      </c>
      <c r="F48" s="157" t="s">
        <v>587</v>
      </c>
      <c r="G48" s="157"/>
      <c r="H48" s="15"/>
      <c r="I48" s="15"/>
    </row>
    <row r="49" spans="1:9" ht="48" customHeight="1" x14ac:dyDescent="0.35">
      <c r="A49" s="15"/>
      <c r="B49" s="117" t="s">
        <v>588</v>
      </c>
      <c r="C49" s="33" t="s">
        <v>589</v>
      </c>
      <c r="D49" s="97" t="s">
        <v>590</v>
      </c>
      <c r="E49" s="64" t="s">
        <v>326</v>
      </c>
      <c r="F49" s="156" t="s">
        <v>591</v>
      </c>
      <c r="G49" s="156"/>
      <c r="H49" s="15"/>
      <c r="I49" s="15"/>
    </row>
    <row r="50" spans="1:9" ht="48" customHeight="1" x14ac:dyDescent="0.35">
      <c r="A50" s="15"/>
      <c r="B50" s="119" t="s">
        <v>592</v>
      </c>
      <c r="C50" s="41" t="s">
        <v>593</v>
      </c>
      <c r="D50" s="99" t="s">
        <v>594</v>
      </c>
      <c r="E50" s="66" t="s">
        <v>82</v>
      </c>
      <c r="F50" s="157" t="s">
        <v>595</v>
      </c>
      <c r="G50" s="157"/>
      <c r="H50" s="15"/>
      <c r="I50" s="15"/>
    </row>
    <row r="51" spans="1:9" ht="19.5" customHeight="1" x14ac:dyDescent="0.35">
      <c r="A51" s="15"/>
      <c r="B51" s="15"/>
      <c r="C51" s="15"/>
      <c r="D51" s="15"/>
      <c r="E51" s="15"/>
      <c r="F51" s="15"/>
      <c r="G51" s="15"/>
      <c r="H51" s="15"/>
      <c r="I51" s="15"/>
    </row>
    <row r="52" spans="1:9" ht="27.75" customHeight="1" x14ac:dyDescent="0.35">
      <c r="A52" s="15"/>
      <c r="B52" s="159" t="s">
        <v>596</v>
      </c>
      <c r="C52" s="159"/>
      <c r="D52" s="159"/>
      <c r="E52" s="159"/>
      <c r="F52" s="159"/>
      <c r="G52" s="159"/>
      <c r="H52" s="15"/>
      <c r="I52" s="15"/>
    </row>
    <row r="53" spans="1:9" ht="19.5" customHeight="1" x14ac:dyDescent="0.35">
      <c r="A53" s="15"/>
      <c r="B53" s="15"/>
      <c r="C53" s="15"/>
      <c r="D53" s="15"/>
      <c r="E53" s="15"/>
      <c r="F53" s="15"/>
      <c r="G53" s="15"/>
      <c r="H53" s="15"/>
      <c r="I53" s="15"/>
    </row>
    <row r="54" spans="1:9" ht="27.75" customHeight="1" x14ac:dyDescent="0.35">
      <c r="A54" s="15"/>
      <c r="B54" s="150" t="s">
        <v>597</v>
      </c>
      <c r="C54" s="150"/>
      <c r="D54" s="150"/>
      <c r="E54" s="150"/>
      <c r="F54" s="150"/>
      <c r="G54" s="150"/>
      <c r="H54" s="15"/>
      <c r="I54" s="15"/>
    </row>
    <row r="55" spans="1:9" ht="30" customHeight="1" x14ac:dyDescent="0.35">
      <c r="A55" s="15"/>
      <c r="B55" s="123" t="s">
        <v>293</v>
      </c>
      <c r="C55" s="151" t="s">
        <v>598</v>
      </c>
      <c r="D55" s="151"/>
      <c r="E55" s="151"/>
      <c r="F55" s="151"/>
      <c r="G55" s="151"/>
      <c r="H55" s="15"/>
      <c r="I55" s="15"/>
    </row>
    <row r="56" spans="1:9" ht="30" customHeight="1" x14ac:dyDescent="0.35">
      <c r="A56" s="15"/>
      <c r="B56" s="71" t="s">
        <v>599</v>
      </c>
      <c r="C56" s="158" t="s">
        <v>600</v>
      </c>
      <c r="D56" s="158"/>
      <c r="E56" s="158"/>
      <c r="F56" s="158"/>
      <c r="G56" s="158"/>
      <c r="H56" s="15"/>
      <c r="I56" s="15"/>
    </row>
    <row r="57" spans="1:9" ht="30" customHeight="1" x14ac:dyDescent="0.35">
      <c r="A57" s="15"/>
      <c r="B57" s="123" t="s">
        <v>601</v>
      </c>
      <c r="C57" s="151" t="s">
        <v>602</v>
      </c>
      <c r="D57" s="151"/>
      <c r="E57" s="151"/>
      <c r="F57" s="151"/>
      <c r="G57" s="151"/>
      <c r="H57" s="15"/>
      <c r="I57" s="15"/>
    </row>
    <row r="58" spans="1:9" ht="30" customHeight="1" x14ac:dyDescent="0.35">
      <c r="A58" s="15"/>
      <c r="B58" s="71" t="s">
        <v>603</v>
      </c>
      <c r="C58" s="158" t="s">
        <v>604</v>
      </c>
      <c r="D58" s="158"/>
      <c r="E58" s="158"/>
      <c r="F58" s="158"/>
      <c r="G58" s="158"/>
      <c r="H58" s="15"/>
      <c r="I58" s="15"/>
    </row>
    <row r="59" spans="1:9" ht="30" customHeight="1" x14ac:dyDescent="0.35">
      <c r="A59" s="15"/>
      <c r="B59" s="123" t="s">
        <v>605</v>
      </c>
      <c r="C59" s="151" t="s">
        <v>606</v>
      </c>
      <c r="D59" s="151"/>
      <c r="E59" s="151"/>
      <c r="F59" s="151"/>
      <c r="G59" s="151"/>
      <c r="H59" s="15"/>
      <c r="I59" s="15"/>
    </row>
    <row r="60" spans="1:9" ht="19.5" customHeight="1" x14ac:dyDescent="0.35">
      <c r="A60" s="15"/>
      <c r="B60" s="15"/>
      <c r="C60" s="15"/>
      <c r="D60" s="15"/>
      <c r="E60" s="15"/>
      <c r="F60" s="15"/>
      <c r="G60" s="15"/>
      <c r="H60" s="15"/>
      <c r="I60" s="15"/>
    </row>
    <row r="61" spans="1:9" ht="19.5" customHeight="1" x14ac:dyDescent="0.35">
      <c r="A61" s="15"/>
      <c r="B61" s="15"/>
      <c r="C61" s="15"/>
      <c r="D61" s="15"/>
      <c r="E61" s="15"/>
      <c r="F61" s="15"/>
      <c r="G61" s="15"/>
      <c r="H61" s="15"/>
      <c r="I61" s="15"/>
    </row>
    <row r="62" spans="1:9" ht="19.5" customHeight="1" x14ac:dyDescent="0.35">
      <c r="A62" s="15"/>
      <c r="B62" s="15"/>
      <c r="C62" s="15"/>
      <c r="D62" s="15"/>
      <c r="E62" s="15"/>
      <c r="F62" s="15"/>
      <c r="G62" s="15"/>
      <c r="H62" s="15"/>
      <c r="I62" s="15"/>
    </row>
    <row r="63" spans="1:9" ht="19.5" customHeight="1" x14ac:dyDescent="0.35">
      <c r="A63" s="15"/>
      <c r="B63" s="15"/>
      <c r="C63" s="15"/>
      <c r="D63" s="15"/>
      <c r="E63" s="15"/>
      <c r="F63" s="15"/>
      <c r="G63" s="15"/>
      <c r="H63" s="15"/>
      <c r="I63" s="15"/>
    </row>
    <row r="64" spans="1:9" ht="19.5" customHeight="1" x14ac:dyDescent="0.35">
      <c r="A64" s="15"/>
      <c r="B64" s="15"/>
      <c r="C64" s="15"/>
      <c r="D64" s="15"/>
      <c r="E64" s="15"/>
      <c r="F64" s="15"/>
      <c r="G64" s="15"/>
      <c r="H64" s="15"/>
      <c r="I64" s="15"/>
    </row>
    <row r="65" spans="1:9" ht="19.5" customHeight="1" x14ac:dyDescent="0.35">
      <c r="A65" s="15"/>
      <c r="B65" s="15"/>
      <c r="C65" s="15"/>
      <c r="D65" s="15"/>
      <c r="E65" s="15"/>
      <c r="F65" s="15"/>
      <c r="G65" s="15"/>
      <c r="H65" s="15"/>
      <c r="I65" s="15"/>
    </row>
    <row r="66" spans="1:9" ht="19.5" customHeight="1" x14ac:dyDescent="0.35">
      <c r="A66" s="15"/>
      <c r="B66" s="15"/>
      <c r="C66" s="15"/>
      <c r="D66" s="15"/>
      <c r="E66" s="15"/>
      <c r="F66" s="15"/>
      <c r="G66" s="15"/>
      <c r="H66" s="15"/>
      <c r="I66" s="15"/>
    </row>
    <row r="67" spans="1:9" ht="19.5" customHeight="1" x14ac:dyDescent="0.35">
      <c r="A67" s="15"/>
      <c r="B67" s="15"/>
      <c r="C67" s="15"/>
      <c r="D67" s="15"/>
      <c r="E67" s="15"/>
      <c r="F67" s="15"/>
      <c r="G67" s="15"/>
      <c r="H67" s="15"/>
      <c r="I67" s="15"/>
    </row>
    <row r="68" spans="1:9" ht="19.5" customHeight="1" x14ac:dyDescent="0.35">
      <c r="A68" s="15"/>
      <c r="B68" s="15"/>
      <c r="C68" s="15"/>
      <c r="D68" s="15"/>
      <c r="E68" s="15"/>
      <c r="F68" s="15"/>
      <c r="G68" s="15"/>
      <c r="H68" s="15"/>
      <c r="I68" s="15"/>
    </row>
    <row r="69" spans="1:9" ht="19.5" customHeight="1" x14ac:dyDescent="0.35">
      <c r="A69" s="15"/>
      <c r="B69" s="15"/>
      <c r="C69" s="15"/>
      <c r="D69" s="15"/>
      <c r="E69" s="15"/>
      <c r="F69" s="15"/>
      <c r="G69" s="15"/>
      <c r="H69" s="15"/>
      <c r="I69" s="15"/>
    </row>
    <row r="70" spans="1:9" ht="19.5" customHeight="1" x14ac:dyDescent="0.35">
      <c r="A70" s="15"/>
      <c r="B70" s="15"/>
      <c r="C70" s="15"/>
      <c r="D70" s="15"/>
      <c r="E70" s="15"/>
      <c r="F70" s="15"/>
      <c r="G70" s="15"/>
      <c r="H70" s="15"/>
      <c r="I70" s="15"/>
    </row>
    <row r="71" spans="1:9" ht="19.5" customHeight="1" x14ac:dyDescent="0.35">
      <c r="A71" s="15"/>
      <c r="B71" s="15"/>
      <c r="C71" s="15"/>
      <c r="D71" s="15"/>
      <c r="E71" s="15"/>
      <c r="F71" s="15"/>
      <c r="G71" s="15"/>
      <c r="H71" s="15"/>
      <c r="I71" s="15"/>
    </row>
    <row r="72" spans="1:9" ht="19.5" customHeight="1" x14ac:dyDescent="0.35">
      <c r="A72" s="15"/>
      <c r="B72" s="15"/>
      <c r="C72" s="15"/>
      <c r="D72" s="15"/>
      <c r="E72" s="15"/>
      <c r="F72" s="15"/>
      <c r="G72" s="15"/>
      <c r="H72" s="15"/>
      <c r="I72" s="15"/>
    </row>
    <row r="73" spans="1:9" ht="19.5" customHeight="1" x14ac:dyDescent="0.35">
      <c r="A73" s="15"/>
      <c r="B73" s="15"/>
      <c r="C73" s="15"/>
      <c r="D73" s="15"/>
      <c r="E73" s="15"/>
      <c r="F73" s="15"/>
      <c r="G73" s="15"/>
      <c r="H73" s="15"/>
      <c r="I73" s="15"/>
    </row>
    <row r="74" spans="1:9" ht="19.5" customHeight="1" x14ac:dyDescent="0.35">
      <c r="A74" s="15"/>
      <c r="B74" s="15"/>
      <c r="C74" s="15"/>
      <c r="D74" s="15"/>
      <c r="E74" s="15"/>
      <c r="F74" s="15"/>
      <c r="G74" s="15"/>
      <c r="H74" s="15"/>
      <c r="I74" s="15"/>
    </row>
    <row r="75" spans="1:9" ht="19.5" customHeight="1" x14ac:dyDescent="0.35">
      <c r="A75" s="15"/>
      <c r="B75" s="15"/>
      <c r="C75" s="15"/>
      <c r="D75" s="15"/>
      <c r="E75" s="15"/>
      <c r="F75" s="15"/>
      <c r="G75" s="15"/>
      <c r="H75" s="15"/>
      <c r="I75" s="15"/>
    </row>
    <row r="76" spans="1:9" ht="19.5" customHeight="1" x14ac:dyDescent="0.35">
      <c r="A76" s="15"/>
      <c r="B76" s="15"/>
      <c r="C76" s="15"/>
      <c r="D76" s="15"/>
      <c r="E76" s="15"/>
      <c r="F76" s="15"/>
      <c r="G76" s="15"/>
      <c r="H76" s="15"/>
      <c r="I76" s="15"/>
    </row>
    <row r="77" spans="1:9" ht="19.5" customHeight="1" x14ac:dyDescent="0.35">
      <c r="A77" s="15"/>
      <c r="B77" s="15"/>
      <c r="C77" s="15"/>
      <c r="D77" s="15"/>
      <c r="E77" s="15"/>
      <c r="F77" s="15"/>
      <c r="G77" s="15"/>
      <c r="H77" s="15"/>
      <c r="I77" s="15"/>
    </row>
    <row r="78" spans="1:9" ht="19.5" customHeight="1" x14ac:dyDescent="0.35">
      <c r="A78" s="15"/>
      <c r="B78" s="15"/>
      <c r="C78" s="15"/>
      <c r="D78" s="15"/>
      <c r="E78" s="15"/>
      <c r="F78" s="15"/>
      <c r="G78" s="15"/>
      <c r="H78" s="15"/>
      <c r="I78" s="15"/>
    </row>
    <row r="79" spans="1:9" ht="19.5" customHeight="1" x14ac:dyDescent="0.35">
      <c r="A79" s="15"/>
      <c r="B79" s="15"/>
      <c r="C79" s="15"/>
      <c r="D79" s="15"/>
      <c r="E79" s="15"/>
      <c r="F79" s="15"/>
      <c r="G79" s="15"/>
      <c r="H79" s="15"/>
      <c r="I79" s="15"/>
    </row>
    <row r="80" spans="1:9" ht="19.5" customHeight="1" x14ac:dyDescent="0.35">
      <c r="A80" s="15"/>
      <c r="B80" s="15"/>
      <c r="C80" s="15"/>
      <c r="D80" s="15"/>
      <c r="E80" s="15"/>
      <c r="F80" s="15"/>
      <c r="G80" s="15"/>
      <c r="H80" s="15"/>
      <c r="I80" s="15"/>
    </row>
    <row r="81" spans="1:9" ht="19.5" customHeight="1" x14ac:dyDescent="0.35">
      <c r="A81" s="15"/>
      <c r="B81" s="15"/>
      <c r="C81" s="15"/>
      <c r="D81" s="15"/>
      <c r="E81" s="15"/>
      <c r="F81" s="15"/>
      <c r="G81" s="15"/>
      <c r="H81" s="15"/>
      <c r="I81" s="15"/>
    </row>
    <row r="82" spans="1:9" ht="19.5" customHeight="1" x14ac:dyDescent="0.35">
      <c r="A82" s="15"/>
      <c r="B82" s="15"/>
      <c r="C82" s="15"/>
      <c r="D82" s="15"/>
      <c r="E82" s="15"/>
      <c r="F82" s="15"/>
      <c r="G82" s="15"/>
      <c r="H82" s="15"/>
      <c r="I82" s="15"/>
    </row>
    <row r="83" spans="1:9" ht="19.5" customHeight="1" x14ac:dyDescent="0.35">
      <c r="A83" s="15"/>
      <c r="B83" s="15"/>
      <c r="C83" s="15"/>
      <c r="D83" s="15"/>
      <c r="E83" s="15"/>
      <c r="F83" s="15"/>
      <c r="G83" s="15"/>
      <c r="H83" s="15"/>
      <c r="I83" s="15"/>
    </row>
    <row r="84" spans="1:9" ht="19.5" customHeight="1" x14ac:dyDescent="0.35">
      <c r="A84" s="15"/>
      <c r="B84" s="15"/>
      <c r="C84" s="15"/>
      <c r="D84" s="15"/>
      <c r="E84" s="15"/>
      <c r="F84" s="15"/>
      <c r="G84" s="15"/>
      <c r="H84" s="15"/>
      <c r="I84" s="15"/>
    </row>
    <row r="85" spans="1:9" ht="19.5" customHeight="1" x14ac:dyDescent="0.35">
      <c r="A85" s="15"/>
      <c r="B85" s="15"/>
      <c r="C85" s="15"/>
      <c r="D85" s="15"/>
      <c r="E85" s="15"/>
      <c r="F85" s="15"/>
      <c r="G85" s="15"/>
      <c r="H85" s="15"/>
      <c r="I85" s="15"/>
    </row>
    <row r="86" spans="1:9" ht="19.5" customHeight="1" x14ac:dyDescent="0.35">
      <c r="A86" s="15"/>
      <c r="B86" s="15"/>
      <c r="C86" s="15"/>
      <c r="D86" s="15"/>
      <c r="E86" s="15"/>
      <c r="F86" s="15"/>
      <c r="G86" s="15"/>
      <c r="H86" s="15"/>
      <c r="I86" s="15"/>
    </row>
    <row r="87" spans="1:9" ht="19.5" customHeight="1" x14ac:dyDescent="0.35">
      <c r="A87" s="15"/>
      <c r="B87" s="15"/>
      <c r="C87" s="15"/>
      <c r="D87" s="15"/>
      <c r="E87" s="15"/>
      <c r="F87" s="15"/>
      <c r="G87" s="15"/>
      <c r="H87" s="15"/>
      <c r="I87" s="15"/>
    </row>
    <row r="88" spans="1:9" ht="19.5" customHeight="1" x14ac:dyDescent="0.35">
      <c r="A88" s="15"/>
      <c r="B88" s="15"/>
      <c r="C88" s="15"/>
      <c r="D88" s="15"/>
      <c r="E88" s="15"/>
      <c r="F88" s="15"/>
      <c r="G88" s="15"/>
      <c r="H88" s="15"/>
      <c r="I88" s="15"/>
    </row>
    <row r="89" spans="1:9" ht="19.5" customHeight="1" x14ac:dyDescent="0.35">
      <c r="A89" s="15"/>
      <c r="B89" s="15"/>
      <c r="C89" s="15"/>
      <c r="D89" s="15"/>
      <c r="E89" s="15"/>
      <c r="F89" s="15"/>
      <c r="G89" s="15"/>
      <c r="H89" s="15"/>
      <c r="I89" s="15"/>
    </row>
    <row r="90" spans="1:9" ht="19.5" customHeight="1" x14ac:dyDescent="0.35">
      <c r="A90" s="15"/>
      <c r="B90" s="15"/>
      <c r="C90" s="15"/>
      <c r="D90" s="15"/>
      <c r="E90" s="15"/>
      <c r="F90" s="15"/>
      <c r="G90" s="15"/>
      <c r="H90" s="15"/>
      <c r="I90" s="15"/>
    </row>
    <row r="91" spans="1:9" ht="19.5" customHeight="1" x14ac:dyDescent="0.35">
      <c r="A91" s="15"/>
      <c r="B91" s="15"/>
      <c r="C91" s="15"/>
      <c r="D91" s="15"/>
      <c r="E91" s="15"/>
      <c r="F91" s="15"/>
      <c r="G91" s="15"/>
      <c r="H91" s="15"/>
      <c r="I91" s="15"/>
    </row>
    <row r="92" spans="1:9" ht="19.5" customHeight="1" x14ac:dyDescent="0.35">
      <c r="A92" s="15"/>
      <c r="B92" s="15"/>
      <c r="C92" s="15"/>
      <c r="D92" s="15"/>
      <c r="E92" s="15"/>
      <c r="F92" s="15"/>
      <c r="G92" s="15"/>
      <c r="H92" s="15"/>
      <c r="I92" s="15"/>
    </row>
    <row r="93" spans="1:9" ht="19.5" customHeight="1" x14ac:dyDescent="0.35">
      <c r="A93" s="15"/>
      <c r="B93" s="15"/>
      <c r="C93" s="15"/>
      <c r="D93" s="15"/>
      <c r="E93" s="15"/>
      <c r="F93" s="15"/>
      <c r="G93" s="15"/>
      <c r="H93" s="15"/>
      <c r="I93" s="15"/>
    </row>
    <row r="94" spans="1:9" ht="19.5" customHeight="1" x14ac:dyDescent="0.35">
      <c r="A94" s="15"/>
      <c r="B94" s="15"/>
      <c r="C94" s="15"/>
      <c r="D94" s="15"/>
      <c r="E94" s="15"/>
      <c r="F94" s="15"/>
      <c r="G94" s="15"/>
      <c r="H94" s="15"/>
      <c r="I94" s="15"/>
    </row>
    <row r="95" spans="1:9" ht="19.5" customHeight="1" x14ac:dyDescent="0.35">
      <c r="A95" s="15"/>
      <c r="B95" s="15"/>
      <c r="C95" s="15"/>
      <c r="D95" s="15"/>
      <c r="E95" s="15"/>
      <c r="F95" s="15"/>
      <c r="G95" s="15"/>
      <c r="H95" s="15"/>
      <c r="I95" s="15"/>
    </row>
    <row r="96" spans="1:9" ht="19.5" customHeight="1" x14ac:dyDescent="0.35">
      <c r="A96" s="15"/>
      <c r="B96" s="15"/>
      <c r="C96" s="15"/>
      <c r="D96" s="15"/>
      <c r="E96" s="15"/>
      <c r="F96" s="15"/>
      <c r="G96" s="15"/>
      <c r="H96" s="15"/>
      <c r="I96" s="15"/>
    </row>
    <row r="97" spans="1:9" ht="19.5" customHeight="1" x14ac:dyDescent="0.35">
      <c r="A97" s="15"/>
      <c r="B97" s="15"/>
      <c r="C97" s="15"/>
      <c r="D97" s="15"/>
      <c r="E97" s="15"/>
      <c r="F97" s="15"/>
      <c r="G97" s="15"/>
      <c r="H97" s="15"/>
      <c r="I97" s="15"/>
    </row>
    <row r="98" spans="1:9" ht="19.5" customHeight="1" x14ac:dyDescent="0.35">
      <c r="A98" s="15"/>
      <c r="B98" s="15"/>
      <c r="C98" s="15"/>
      <c r="D98" s="15"/>
      <c r="E98" s="15"/>
      <c r="F98" s="15"/>
      <c r="G98" s="15"/>
      <c r="H98" s="15"/>
      <c r="I98" s="15"/>
    </row>
    <row r="99" spans="1:9" ht="19.5" customHeight="1" x14ac:dyDescent="0.35">
      <c r="A99" s="15"/>
      <c r="B99" s="15"/>
      <c r="C99" s="15"/>
      <c r="D99" s="15"/>
      <c r="E99" s="15"/>
      <c r="F99" s="15"/>
      <c r="G99" s="15"/>
      <c r="H99" s="15"/>
      <c r="I99" s="15"/>
    </row>
    <row r="100" spans="1:9" ht="19.5" customHeight="1" x14ac:dyDescent="0.35">
      <c r="A100" s="15"/>
      <c r="B100" s="15"/>
      <c r="C100" s="15"/>
      <c r="D100" s="15"/>
      <c r="E100" s="15"/>
      <c r="F100" s="15"/>
      <c r="G100" s="15"/>
      <c r="H100" s="15"/>
      <c r="I100" s="15"/>
    </row>
    <row r="101" spans="1:9" ht="19.5" customHeight="1" x14ac:dyDescent="0.35">
      <c r="A101" s="15"/>
      <c r="B101" s="15"/>
      <c r="C101" s="15"/>
      <c r="D101" s="15"/>
      <c r="E101" s="15"/>
      <c r="F101" s="15"/>
      <c r="G101" s="15"/>
      <c r="H101" s="15"/>
      <c r="I101" s="15"/>
    </row>
    <row r="102" spans="1:9" ht="19.5" customHeight="1" x14ac:dyDescent="0.35">
      <c r="A102" s="15"/>
      <c r="B102" s="15"/>
      <c r="C102" s="15"/>
      <c r="D102" s="15"/>
      <c r="E102" s="15"/>
      <c r="F102" s="15"/>
      <c r="G102" s="15"/>
      <c r="H102" s="15"/>
      <c r="I102" s="15"/>
    </row>
    <row r="103" spans="1:9" ht="19.5" customHeight="1" x14ac:dyDescent="0.35">
      <c r="A103" s="15"/>
      <c r="B103" s="15"/>
      <c r="C103" s="15"/>
      <c r="D103" s="15"/>
      <c r="E103" s="15"/>
      <c r="F103" s="15"/>
      <c r="G103" s="15"/>
      <c r="H103" s="15"/>
      <c r="I103" s="15"/>
    </row>
    <row r="104" spans="1:9" ht="19.5" customHeight="1" x14ac:dyDescent="0.35">
      <c r="A104" s="15"/>
      <c r="B104" s="15"/>
      <c r="C104" s="15"/>
      <c r="D104" s="15"/>
      <c r="E104" s="15"/>
      <c r="F104" s="15"/>
      <c r="G104" s="15"/>
      <c r="H104" s="15"/>
      <c r="I104" s="15"/>
    </row>
    <row r="105" spans="1:9" ht="19.5" customHeight="1" x14ac:dyDescent="0.35">
      <c r="A105" s="15"/>
      <c r="B105" s="15"/>
      <c r="C105" s="15"/>
      <c r="D105" s="15"/>
      <c r="E105" s="15"/>
      <c r="F105" s="15"/>
      <c r="G105" s="15"/>
      <c r="H105" s="15"/>
      <c r="I105" s="15"/>
    </row>
    <row r="106" spans="1:9" ht="19.5" customHeight="1" x14ac:dyDescent="0.35">
      <c r="A106" s="15"/>
      <c r="B106" s="15"/>
      <c r="C106" s="15"/>
      <c r="D106" s="15"/>
      <c r="E106" s="15"/>
      <c r="F106" s="15"/>
      <c r="G106" s="15"/>
      <c r="H106" s="15"/>
      <c r="I106" s="15"/>
    </row>
    <row r="107" spans="1:9" ht="19.5" customHeight="1" x14ac:dyDescent="0.35">
      <c r="A107" s="15"/>
      <c r="B107" s="15"/>
      <c r="C107" s="15"/>
      <c r="D107" s="15"/>
      <c r="E107" s="15"/>
      <c r="F107" s="15"/>
      <c r="G107" s="15"/>
      <c r="H107" s="15"/>
      <c r="I107" s="15"/>
    </row>
    <row r="108" spans="1:9" ht="19.5" customHeight="1" x14ac:dyDescent="0.35">
      <c r="A108" s="15"/>
      <c r="B108" s="15"/>
      <c r="C108" s="15"/>
      <c r="D108" s="15"/>
      <c r="E108" s="15"/>
      <c r="F108" s="15"/>
      <c r="G108" s="15"/>
      <c r="H108" s="15"/>
      <c r="I108" s="15"/>
    </row>
    <row r="109" spans="1:9" ht="19.5" customHeight="1" x14ac:dyDescent="0.35">
      <c r="A109" s="15"/>
      <c r="B109" s="15"/>
      <c r="C109" s="15"/>
      <c r="D109" s="15"/>
      <c r="E109" s="15"/>
      <c r="F109" s="15"/>
      <c r="G109" s="15"/>
      <c r="H109" s="15"/>
      <c r="I109" s="15"/>
    </row>
    <row r="110" spans="1:9" ht="19.5" customHeight="1" x14ac:dyDescent="0.35">
      <c r="A110" s="15"/>
      <c r="B110" s="15"/>
      <c r="C110" s="15"/>
      <c r="D110" s="15"/>
      <c r="E110" s="15"/>
      <c r="F110" s="15"/>
      <c r="G110" s="15"/>
      <c r="H110" s="15"/>
      <c r="I110" s="15"/>
    </row>
  </sheetData>
  <mergeCells count="34">
    <mergeCell ref="C56:G56"/>
    <mergeCell ref="C57:G57"/>
    <mergeCell ref="C58:G58"/>
    <mergeCell ref="C59:G59"/>
    <mergeCell ref="F49:G49"/>
    <mergeCell ref="F50:G50"/>
    <mergeCell ref="B52:G52"/>
    <mergeCell ref="B54:G54"/>
    <mergeCell ref="C55:G55"/>
    <mergeCell ref="F44:G44"/>
    <mergeCell ref="F45:G45"/>
    <mergeCell ref="F46:G46"/>
    <mergeCell ref="F47:G47"/>
    <mergeCell ref="F48:G48"/>
    <mergeCell ref="B29:G29"/>
    <mergeCell ref="B30:G30"/>
    <mergeCell ref="B39:G39"/>
    <mergeCell ref="B40:G40"/>
    <mergeCell ref="F43:G43"/>
    <mergeCell ref="B23:G23"/>
    <mergeCell ref="C24:G24"/>
    <mergeCell ref="C25:G25"/>
    <mergeCell ref="C26:G26"/>
    <mergeCell ref="C27:G27"/>
    <mergeCell ref="B16:G16"/>
    <mergeCell ref="F18:G18"/>
    <mergeCell ref="F19:G19"/>
    <mergeCell ref="F20:G20"/>
    <mergeCell ref="F21:G21"/>
    <mergeCell ref="B2:G2"/>
    <mergeCell ref="B3:G3"/>
    <mergeCell ref="B5:G5"/>
    <mergeCell ref="B6:G6"/>
    <mergeCell ref="B8:G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 DATOS</vt:lpstr>
      <vt:lpstr>🔴 H-5 DÍAS</vt:lpstr>
      <vt:lpstr>🟡 H-3 DÍAS</vt:lpstr>
      <vt:lpstr>🟣 M-5 DÍAS</vt:lpstr>
      <vt:lpstr>📈 PROGRESIÓN</vt:lpstr>
      <vt:lpstr>🫁 RESPIRACIÓN + KEGEL</vt:lpstr>
      <vt:lpstr>🔄 MOVILIDAD</vt:lpstr>
      <vt:lpstr>💪 CORE + TRAPECIOS + MUÑECAS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Dylan Jesus Lezama Alamillo - Alumno</cp:lastModifiedBy>
  <cp:revision>0</cp:revision>
  <dcterms:created xsi:type="dcterms:W3CDTF">2026-05-05T03:58:04Z</dcterms:created>
  <dcterms:modified xsi:type="dcterms:W3CDTF">2026-05-09T05:58:34Z</dcterms:modified>
  <dc:language>en-US</dc:language>
</cp:coreProperties>
</file>