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ylan\Downloads\"/>
    </mc:Choice>
  </mc:AlternateContent>
  <xr:revisionPtr revIDLastSave="0" documentId="13_ncr:1_{5C3F4563-658F-4991-B122-6E97562D5D75}" xr6:coauthVersionLast="47" xr6:coauthVersionMax="47" xr10:uidLastSave="{00000000-0000-0000-0000-000000000000}"/>
  <bookViews>
    <workbookView xWindow="-110" yWindow="-110" windowWidth="21820" windowHeight="13900" firstSheet="1" activeTab="2" xr2:uid="{00000000-000D-0000-FFFF-FFFF00000000}"/>
  </bookViews>
  <sheets>
    <sheet name="1. DATOS" sheetId="1" r:id="rId1"/>
    <sheet name="2. RESULTADOS" sheetId="2" r:id="rId2"/>
    <sheet name="3. GUÍA ALIMENTACIÓN" sheetId="3" r:id="rId3"/>
    <sheet name="4. EQUIVALENCIAS CARBS" sheetId="4" r:id="rId4"/>
    <sheet name="5. RECOMENDACION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6" i="2" s="1"/>
  <c r="B4" i="2" l="1"/>
  <c r="C3" i="4" s="1"/>
  <c r="B5" i="2"/>
  <c r="C23" i="3" l="1"/>
  <c r="C7" i="3"/>
  <c r="C22" i="3"/>
  <c r="C6" i="3"/>
  <c r="C25" i="3"/>
  <c r="C8" i="3"/>
  <c r="C17" i="3"/>
  <c r="C16" i="3"/>
  <c r="C15" i="3"/>
  <c r="C24" i="3"/>
  <c r="C14" i="3"/>
  <c r="C9" i="3"/>
  <c r="C9" i="4"/>
  <c r="C5" i="4"/>
  <c r="B9" i="4"/>
  <c r="B5" i="4"/>
  <c r="C8" i="4"/>
  <c r="C4" i="4"/>
  <c r="B4" i="4"/>
  <c r="B8" i="4"/>
  <c r="C7" i="4"/>
  <c r="B7" i="4"/>
  <c r="B3" i="4"/>
  <c r="B6" i="4"/>
  <c r="C6" i="4"/>
</calcChain>
</file>

<file path=xl/sharedStrings.xml><?xml version="1.0" encoding="utf-8"?>
<sst xmlns="http://schemas.openxmlformats.org/spreadsheetml/2006/main" count="141" uniqueCount="123">
  <si>
    <t>SISTEMA AETERION - INPUT</t>
  </si>
  <si>
    <t>Peso (kg)</t>
  </si>
  <si>
    <t>Estatura (cm)</t>
  </si>
  <si>
    <t>Edad</t>
  </si>
  <si>
    <t>Sexo (1=M, 0=F)</t>
  </si>
  <si>
    <t>Actividad (1.2-1.9)</t>
  </si>
  <si>
    <t>Objetivo (1, 2, 3)</t>
  </si>
  <si>
    <t>DASHBOARD: DIABETES</t>
  </si>
  <si>
    <t>METRICA</t>
  </si>
  <si>
    <t>GRAMOS TOTALES</t>
  </si>
  <si>
    <t>PORCENTAJE</t>
  </si>
  <si>
    <t>Calorías Totales</t>
  </si>
  <si>
    <t>100%</t>
  </si>
  <si>
    <t>Carbohidratos</t>
  </si>
  <si>
    <t>45%</t>
  </si>
  <si>
    <t>Proteína</t>
  </si>
  <si>
    <t>22%</t>
  </si>
  <si>
    <t>Grasas</t>
  </si>
  <si>
    <t>33%</t>
  </si>
  <si>
    <t>FACTOR CORAZÓN (AHA)</t>
  </si>
  <si>
    <t>Además del control de glucosa, en diabetes también importa proteger el sistema cardiovascular. Se recomienda priorizar grasas insaturadas y moderar grasas saturadas. Meta práctica: mantener grasas saturadas bajas y evitar exceso de ultraprocesados, frituras, embutidos y grasas trans.</t>
  </si>
  <si>
    <t>Guía rápida:</t>
  </si>
  <si>
    <t>• Preferir aceite de oliva, aguacate, nueces y pescado.</t>
  </si>
  <si>
    <t>• Reducir embutidos, frituras, crema, mantequilla y bollería industrial.</t>
  </si>
  <si>
    <t>• En diabetes, cuidar el corazón es tan importante como cuidar la glucosa.</t>
  </si>
  <si>
    <t>PROTEÍNA (PESAR EN CRUDO - ELIGE UNA):</t>
  </si>
  <si>
    <t>Pechuga de Pollo</t>
  </si>
  <si>
    <t>Pescado Blanco</t>
  </si>
  <si>
    <t>Carne Roja Magra</t>
  </si>
  <si>
    <t>Huevos Enteros (Piezas)</t>
  </si>
  <si>
    <t>05:00 PM</t>
  </si>
  <si>
    <t>08:00 PM</t>
  </si>
  <si>
    <t>RECOMENDACIONES CLAVE ADICIONALES</t>
  </si>
  <si>
    <t>1. FACTOR EMOCIONAL</t>
  </si>
  <si>
    <t>2. DESMITIFICACIÓN</t>
  </si>
  <si>
    <t>Los suplementos no sustituyen el medicamento.</t>
  </si>
  <si>
    <t>3. SUPLEMENTOS Y APOYOS CONSIDERADOS EN LA GUÍA</t>
  </si>
  <si>
    <t>Metabolismo y glucosa</t>
  </si>
  <si>
    <t>Magnesio</t>
  </si>
  <si>
    <t>Apoyo al metabolismo de glucosa y sensibilidad a la insulina</t>
  </si>
  <si>
    <t>Omega-3</t>
  </si>
  <si>
    <t>Salud cardiovascular y reducción de triglicéridos</t>
  </si>
  <si>
    <t>Fibra soluble (Psyllium Husk)</t>
  </si>
  <si>
    <t>Ayuda a retardar la absorción de azúcar</t>
  </si>
  <si>
    <t>Estrés y enfoque</t>
  </si>
  <si>
    <t>Ashwagandha</t>
  </si>
  <si>
    <t>Ayuda a regular el cortisol</t>
  </si>
  <si>
    <t>Berberina</t>
  </si>
  <si>
    <t>Actúa de forma similar a la metformina activando la vía AMPK</t>
  </si>
  <si>
    <t>Alfa-GPC o Citicolina</t>
  </si>
  <si>
    <t>Útiles para la neblina mental</t>
  </si>
  <si>
    <t>Densidad nutricional</t>
  </si>
  <si>
    <t>Cúrcuma con piperina</t>
  </si>
  <si>
    <t>Potente antiinflamatorio</t>
  </si>
  <si>
    <t>Canela (Ceilán)</t>
  </si>
  <si>
    <t>Puede mejorar ligeramente la glucosa en ayunas</t>
  </si>
  <si>
    <t>Vinagre de sidra de manzana</t>
  </si>
  <si>
    <t>Puede mejorar la sensibilidad a la insulina postprandial</t>
  </si>
  <si>
    <t>CARBOHIDRATOS RECOMENDADOS (BAJO ÍNDICE GLUCÉMICO)</t>
  </si>
  <si>
    <t>ALIMENTO</t>
  </si>
  <si>
    <t>TOTAL AL DÍA (SI SOLO COMES ESTE)</t>
  </si>
  <si>
    <t>POR COMIDA (3 COMIDAS)</t>
  </si>
  <si>
    <t>Tortilla de Maíz (Nixtamal)</t>
  </si>
  <si>
    <t>Arroz Integral cocido</t>
  </si>
  <si>
    <t>Avena Integral (hojuelas)</t>
  </si>
  <si>
    <t>Quinoa cocida</t>
  </si>
  <si>
    <t>Leguminosas (Frijol/Lenteja)</t>
  </si>
  <si>
    <t>Papa cocida con cáscara</t>
  </si>
  <si>
    <t>Fruta (Moras/Fresa/Manzana)</t>
  </si>
  <si>
    <t>ORDEN</t>
  </si>
  <si>
    <t>AZÚCAR</t>
  </si>
  <si>
    <t>HIDRATACIÓN</t>
  </si>
  <si>
    <t>Agua natural o de jamaica/limón sin azúcar.</t>
  </si>
  <si>
    <t>PICOS</t>
  </si>
  <si>
    <t>Nunca comer carbohidratos solos; siempre con proteína/grasa.</t>
  </si>
  <si>
    <t>Caminata de al menos 10 min despues de comer.</t>
  </si>
  <si>
    <t>Comer primero fibra/vegetales, luego proteína y al final el carbohidrato.</t>
  </si>
  <si>
    <t>Cero azúcar añadida. Usar Stevia o Monkfruit si es necesario (aunque no es recomendable).</t>
  </si>
  <si>
    <t>10-20MIN ANTES DE LA COMIDA</t>
  </si>
  <si>
    <t>Nota: Todo suplemento debe considerarse complemento de la alimentación y del tratamiento médico. Si la persona usa metformina, insulina u otros fármacos, conviene revisar interacciones y seguimiento profesional. ESPECIAL CUIDADO Y CONSULTA CON BERBERINA.</t>
  </si>
  <si>
    <t xml:space="preserve">La ansiedad, el estrés crónico y el mal sueño elevan cortisol. Eso puede dificultar el control de la glucosa y de la insulina aunque la alimentación esté bien estructurada. Por eso, además de la dieta, conviene trabajar sueño, manejo de estrés, caminatas, respiración y apoyo psicológico si hace falta.                                                                                                                                </t>
  </si>
  <si>
    <t>VERDURAS (Mínimo 1-2 tazas, de preferencia crudo o semicrudo): Chayote, Aguacate, Espinaca, Brócoli, Espárragos, Calabacita, Lechuga, Ejotes, Jícama, Pepino, Nopales, etc.</t>
  </si>
  <si>
    <t>COMIDA 1:</t>
  </si>
  <si>
    <t>COMIDA 2:</t>
  </si>
  <si>
    <t>COMIDA 3:</t>
  </si>
  <si>
    <t>Frutas( 1-2 porciones al dia)</t>
  </si>
  <si>
    <t xml:space="preserve"> Toronja</t>
  </si>
  <si>
    <t>Durazno</t>
  </si>
  <si>
    <t>Pera</t>
  </si>
  <si>
    <t>Sandia</t>
  </si>
  <si>
    <t>Uvas</t>
  </si>
  <si>
    <t>Fresas</t>
  </si>
  <si>
    <t xml:space="preserve"> </t>
  </si>
  <si>
    <t>Melon</t>
  </si>
  <si>
    <t>Al despertar, lo primero a consumir es agua.</t>
  </si>
  <si>
    <t>A PARTIR DE ESTA HORA SE RECOMIENDA NO CONSUMIR MAS ALIMENTO</t>
  </si>
  <si>
    <t>LÍQUIDOS</t>
  </si>
  <si>
    <t>Solo agua, jamaica, té o café (Sin azucar o edulcorante).</t>
  </si>
  <si>
    <t>COCCIÓN</t>
  </si>
  <si>
    <t>Usar spray de oliva (PAM), evitar freír, sal a considerar.</t>
  </si>
  <si>
    <t>PROHIBIDO/ NO RECOMENDADO</t>
  </si>
  <si>
    <t>Embutidos, aderezos (ketchup/mayo), refrescos, alimentos ultra procesados.</t>
  </si>
  <si>
    <t xml:space="preserve">FIBRA </t>
  </si>
  <si>
    <t xml:space="preserve">Alimentos altos en fibra(Soluble e insoluble) o suplementar con Psyllium y/o inulina de agave. </t>
  </si>
  <si>
    <t>IMPORTANTE LLEGAR AL REQUERIMIENTO DE FIBRA DIARIO PARA BUENA SALUD INTESTINAL , COLORRECTAL Y EVITAR PICOS DE GLUCOSA/ INSULINA</t>
  </si>
  <si>
    <t>1. Ingresa datos en celdas AZULES.</t>
  </si>
  <si>
    <t>2. Factor Actividad:</t>
  </si>
  <si>
    <t xml:space="preserve">   1.2 Sedentario</t>
  </si>
  <si>
    <t xml:space="preserve">   1.375 Ligero (1-3 días)</t>
  </si>
  <si>
    <t xml:space="preserve">   1.55 Moderado (3-5 días)</t>
  </si>
  <si>
    <t xml:space="preserve">   1.725 Fuerte (6-7 días)             </t>
  </si>
  <si>
    <t>1.9 Atleta (2 veces al dia)</t>
  </si>
  <si>
    <t>3. El sistema calcula macros basados en evidencia clínica AMDR/ADA.</t>
  </si>
  <si>
    <t>Objetivo:</t>
  </si>
  <si>
    <t>RECOMENDACIÓN: Mas importa el porcentaje de grasa corporal y visceral que el peso. Checa estos parametros y cintura.</t>
  </si>
  <si>
    <t>1: Perdida de grasa.</t>
  </si>
  <si>
    <t>Cintura hombre: Menor a 94cm.</t>
  </si>
  <si>
    <t>MAYOR A ESOS VALORES, MAS RIESGO</t>
  </si>
  <si>
    <t>2: Mantenimiento.</t>
  </si>
  <si>
    <t>Cintura mujer: Menor a 80cm.</t>
  </si>
  <si>
    <t>3: Ganancia muscular.</t>
  </si>
  <si>
    <t>Grasa corporal saludable hombre: 14-17%. Mas de 25%= Obesidad.</t>
  </si>
  <si>
    <t xml:space="preserve">Grasa corporal saludable mujer: 21-24%. Mas de 32%= Obesidad.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</si>
</sst>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C5A059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2"/>
      <color rgb="FFFFFFFF"/>
      <name val="Arial"/>
    </font>
    <font>
      <i/>
      <sz val="11"/>
      <name val="Arial"/>
    </font>
    <font>
      <b/>
      <sz val="11"/>
      <color theme="1"/>
      <name val="Calibri"/>
      <family val="2"/>
      <scheme val="minor"/>
    </font>
    <font>
      <b/>
      <i/>
      <sz val="11"/>
      <color rgb="FFFF000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1"/>
      <color rgb="FFFF0000"/>
      <name val="Arial"/>
      <family val="2"/>
    </font>
    <font>
      <sz val="16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C0392B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1A1A1A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E1E6F0"/>
      </patternFill>
    </fill>
  </fills>
  <borders count="4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 vertical="center" indent="1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horizontal="center"/>
    </xf>
    <xf numFmtId="0" fontId="3" fillId="0" borderId="0" xfId="0" applyFont="1"/>
    <xf numFmtId="0" fontId="3" fillId="5" borderId="0" xfId="0" applyFont="1" applyFill="1"/>
    <xf numFmtId="0" fontId="5" fillId="4" borderId="0" xfId="0" applyFont="1" applyFill="1" applyAlignment="1">
      <alignment horizontal="center"/>
    </xf>
    <xf numFmtId="0" fontId="8" fillId="6" borderId="0" xfId="0" applyFont="1" applyFill="1" applyAlignment="1">
      <alignment vertical="top" wrapText="1"/>
    </xf>
    <xf numFmtId="0" fontId="9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vertical="top" wrapText="1"/>
    </xf>
    <xf numFmtId="0" fontId="11" fillId="0" borderId="0" xfId="0" applyFont="1"/>
    <xf numFmtId="0" fontId="12" fillId="0" borderId="0" xfId="0" applyFont="1"/>
    <xf numFmtId="0" fontId="13" fillId="7" borderId="0" xfId="0" applyFont="1" applyFill="1"/>
    <xf numFmtId="0" fontId="13" fillId="7" borderId="2" xfId="0" applyFont="1" applyFill="1" applyBorder="1"/>
    <xf numFmtId="0" fontId="0" fillId="7" borderId="0" xfId="0" applyFill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4" fillId="0" borderId="0" xfId="0" applyFont="1"/>
    <xf numFmtId="18" fontId="0" fillId="8" borderId="0" xfId="0" applyNumberFormat="1" applyFill="1"/>
    <xf numFmtId="0" fontId="0" fillId="0" borderId="0" xfId="0" applyAlignment="1">
      <alignment vertical="top" wrapText="1" indent="1"/>
    </xf>
    <xf numFmtId="0" fontId="9" fillId="9" borderId="0" xfId="0" applyFont="1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15" fillId="11" borderId="0" xfId="0" applyFont="1" applyFill="1"/>
    <xf numFmtId="0" fontId="0" fillId="12" borderId="1" xfId="0" applyFont="1" applyFill="1" applyBorder="1" applyAlignment="1">
      <alignment horizontal="center" vertical="center"/>
    </xf>
    <xf numFmtId="18" fontId="2" fillId="2" borderId="0" xfId="0" applyNumberFormat="1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1289050</xdr:colOff>
      <xdr:row>13</xdr:row>
      <xdr:rowOff>38100</xdr:rowOff>
    </xdr:from>
    <xdr:to>
      <xdr:col>1</xdr:col>
      <xdr:colOff>4864100</xdr:colOff>
      <xdr:row>16</xdr:row>
      <xdr:rowOff>12700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C1A5F1D-13FA-4B1E-99A1-11CDA4133E35}"/>
            </a:ext>
          </a:extLst>
        </xdr:cNvPr>
        <xdr:cNvSpPr txBox="1"/>
      </xdr:nvSpPr>
      <xdr:spPr>
        <a:xfrm>
          <a:off x="3384550" y="2444750"/>
          <a:ext cx="3575050" cy="527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Higiene</a:t>
          </a:r>
          <a:r>
            <a:rPr lang="es-MX" sz="1100" b="1" baseline="0"/>
            <a:t> del sueño, asi como material para manejar el estres y apoyo psicologico viene incluido en la pagina. </a:t>
          </a:r>
          <a:endParaRPr lang="es-MX" sz="11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C23" sqref="C23"/>
    </sheetView>
  </sheetViews>
  <sheetFormatPr baseColWidth="10" defaultColWidth="8.7265625" defaultRowHeight="14.5" x14ac:dyDescent="0.35"/>
  <cols>
    <col min="1" max="1" width="30" customWidth="1"/>
    <col min="2" max="2" width="15" customWidth="1"/>
  </cols>
  <sheetData>
    <row r="1" spans="1:18" x14ac:dyDescent="0.35">
      <c r="A1" t="s">
        <v>0</v>
      </c>
    </row>
    <row r="2" spans="1:18" x14ac:dyDescent="0.35">
      <c r="A2" s="1" t="s">
        <v>1</v>
      </c>
      <c r="B2" s="39">
        <v>72</v>
      </c>
      <c r="D2" s="33" t="s">
        <v>105</v>
      </c>
      <c r="E2" s="34"/>
      <c r="F2" s="34"/>
      <c r="G2" s="33"/>
      <c r="H2" s="33"/>
      <c r="I2" s="33"/>
      <c r="J2" s="33"/>
    </row>
    <row r="3" spans="1:18" x14ac:dyDescent="0.35">
      <c r="A3" s="1" t="s">
        <v>2</v>
      </c>
      <c r="B3" s="39">
        <v>170</v>
      </c>
      <c r="D3" s="33" t="s">
        <v>106</v>
      </c>
      <c r="E3" s="33"/>
      <c r="F3" s="33"/>
      <c r="G3" s="33"/>
      <c r="H3" s="33"/>
      <c r="I3" s="33"/>
      <c r="J3" s="33"/>
    </row>
    <row r="4" spans="1:18" x14ac:dyDescent="0.35">
      <c r="A4" s="1" t="s">
        <v>3</v>
      </c>
      <c r="B4" s="39">
        <v>21</v>
      </c>
      <c r="D4" s="33" t="s">
        <v>107</v>
      </c>
      <c r="E4" s="33"/>
      <c r="F4" s="33"/>
      <c r="G4" s="33"/>
      <c r="H4" s="33"/>
      <c r="I4" s="33"/>
      <c r="J4" s="33"/>
    </row>
    <row r="5" spans="1:18" x14ac:dyDescent="0.35">
      <c r="A5" s="1" t="s">
        <v>4</v>
      </c>
      <c r="B5" s="39">
        <v>1</v>
      </c>
      <c r="D5" s="33" t="s">
        <v>108</v>
      </c>
      <c r="E5" s="33"/>
      <c r="F5" s="33"/>
      <c r="G5" s="33"/>
      <c r="H5" s="33"/>
      <c r="I5" s="33"/>
      <c r="J5" s="33"/>
    </row>
    <row r="6" spans="1:18" x14ac:dyDescent="0.35">
      <c r="A6" s="1" t="s">
        <v>5</v>
      </c>
      <c r="B6" s="39">
        <v>1.55</v>
      </c>
      <c r="D6" s="33" t="s">
        <v>109</v>
      </c>
      <c r="E6" s="33"/>
      <c r="F6" s="33"/>
      <c r="G6" s="33"/>
      <c r="H6" s="33"/>
      <c r="I6" s="33"/>
      <c r="J6" s="33"/>
    </row>
    <row r="7" spans="1:18" x14ac:dyDescent="0.35">
      <c r="A7" s="1" t="s">
        <v>6</v>
      </c>
      <c r="B7" s="39">
        <v>3</v>
      </c>
      <c r="D7" s="33" t="s">
        <v>110</v>
      </c>
      <c r="E7" s="33"/>
      <c r="F7" s="33"/>
      <c r="G7" s="33"/>
      <c r="H7" s="33"/>
      <c r="I7" s="33"/>
      <c r="J7" s="33"/>
    </row>
    <row r="8" spans="1:18" x14ac:dyDescent="0.35">
      <c r="D8" s="33" t="s">
        <v>111</v>
      </c>
      <c r="E8" s="33"/>
      <c r="F8" s="33"/>
      <c r="G8" s="33"/>
      <c r="H8" s="33"/>
      <c r="I8" s="33"/>
      <c r="J8" s="33"/>
    </row>
    <row r="9" spans="1:18" x14ac:dyDescent="0.35">
      <c r="D9" s="33" t="s">
        <v>112</v>
      </c>
      <c r="E9" s="33"/>
      <c r="F9" s="33"/>
      <c r="G9" s="33"/>
      <c r="H9" s="33"/>
      <c r="I9" s="33"/>
      <c r="J9" s="33"/>
    </row>
    <row r="11" spans="1:18" x14ac:dyDescent="0.35">
      <c r="D11" s="35" t="s">
        <v>113</v>
      </c>
      <c r="E11" s="35"/>
      <c r="G11" s="36" t="s">
        <v>114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</row>
    <row r="12" spans="1:18" x14ac:dyDescent="0.35">
      <c r="D12" s="35" t="s">
        <v>115</v>
      </c>
      <c r="E12" s="35"/>
      <c r="G12" s="37" t="s">
        <v>116</v>
      </c>
      <c r="H12" s="37"/>
      <c r="I12" s="37"/>
      <c r="J12" s="36"/>
      <c r="K12" s="38" t="s">
        <v>117</v>
      </c>
      <c r="L12" s="36"/>
      <c r="M12" s="36"/>
      <c r="N12" s="36"/>
      <c r="O12" s="36"/>
      <c r="P12" s="36"/>
      <c r="Q12" s="36"/>
      <c r="R12" s="36"/>
    </row>
    <row r="13" spans="1:18" x14ac:dyDescent="0.35">
      <c r="D13" s="35" t="s">
        <v>118</v>
      </c>
      <c r="E13" s="35"/>
      <c r="G13" s="37" t="s">
        <v>119</v>
      </c>
      <c r="H13" s="37"/>
      <c r="I13" s="37"/>
      <c r="J13" s="36"/>
      <c r="K13" s="36"/>
      <c r="L13" s="36"/>
      <c r="M13" s="36"/>
      <c r="N13" s="36"/>
      <c r="O13" s="36"/>
      <c r="P13" s="36"/>
      <c r="Q13" s="36"/>
      <c r="R13" s="36"/>
    </row>
    <row r="14" spans="1:18" x14ac:dyDescent="0.35">
      <c r="D14" s="35" t="s">
        <v>120</v>
      </c>
      <c r="E14" s="35"/>
      <c r="G14" s="36" t="s">
        <v>121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</row>
    <row r="15" spans="1:18" x14ac:dyDescent="0.35">
      <c r="G15" s="36" t="s">
        <v>122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</row>
  </sheetData>
  <mergeCells count="6">
    <mergeCell ref="G13:I13"/>
    <mergeCell ref="D14:E14"/>
    <mergeCell ref="D11:E11"/>
    <mergeCell ref="D12:E12"/>
    <mergeCell ref="G12:I12"/>
    <mergeCell ref="D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sqref="A1:C1"/>
    </sheetView>
  </sheetViews>
  <sheetFormatPr baseColWidth="10" defaultColWidth="8.7265625" defaultRowHeight="14.5" x14ac:dyDescent="0.35"/>
  <cols>
    <col min="1" max="1" width="25" customWidth="1"/>
    <col min="2" max="2" width="20" customWidth="1"/>
    <col min="3" max="3" width="15" customWidth="1"/>
  </cols>
  <sheetData>
    <row r="1" spans="1:6" x14ac:dyDescent="0.35">
      <c r="A1" s="6" t="s">
        <v>7</v>
      </c>
      <c r="B1" s="7"/>
      <c r="C1" s="7"/>
    </row>
    <row r="2" spans="1:6" x14ac:dyDescent="0.35">
      <c r="A2" s="2" t="s">
        <v>8</v>
      </c>
      <c r="B2" t="s">
        <v>9</v>
      </c>
      <c r="C2" t="s">
        <v>10</v>
      </c>
    </row>
    <row r="3" spans="1:6" x14ac:dyDescent="0.35">
      <c r="A3" s="2" t="s">
        <v>11</v>
      </c>
      <c r="B3">
        <f>((10*'1. DATOS'!B2)+(6.25*'1. DATOS'!B3)-(5*'1. DATOS'!B4)+IF('1. DATOS'!B5=1,5,-161))*'1. DATOS'!B6*IF('1. DATOS'!B7=1,0.85,IF('1. DATOS'!B7=3,1.1,1))</f>
        <v>2868.6625000000004</v>
      </c>
      <c r="C3" t="s">
        <v>12</v>
      </c>
    </row>
    <row r="4" spans="1:6" x14ac:dyDescent="0.35">
      <c r="A4" s="2" t="s">
        <v>13</v>
      </c>
      <c r="B4">
        <f>B3*0.45/4</f>
        <v>322.72453125000004</v>
      </c>
      <c r="C4" t="s">
        <v>14</v>
      </c>
    </row>
    <row r="5" spans="1:6" x14ac:dyDescent="0.35">
      <c r="A5" s="2" t="s">
        <v>15</v>
      </c>
      <c r="B5">
        <f>B3*0.22/4</f>
        <v>157.77643750000001</v>
      </c>
      <c r="C5" t="s">
        <v>16</v>
      </c>
    </row>
    <row r="6" spans="1:6" x14ac:dyDescent="0.35">
      <c r="A6" s="2" t="s">
        <v>17</v>
      </c>
      <c r="B6">
        <f>B3*0.33/9</f>
        <v>105.18429166666668</v>
      </c>
      <c r="C6" t="s">
        <v>18</v>
      </c>
    </row>
    <row r="8" spans="1:6" ht="15.5" x14ac:dyDescent="0.35">
      <c r="A8" s="10" t="s">
        <v>19</v>
      </c>
      <c r="B8" s="7"/>
      <c r="C8" s="7"/>
      <c r="D8" s="7"/>
      <c r="E8" s="7"/>
      <c r="F8" s="7"/>
    </row>
    <row r="9" spans="1:6" ht="60" customHeight="1" x14ac:dyDescent="0.35">
      <c r="A9" s="9" t="s">
        <v>20</v>
      </c>
      <c r="B9" s="7"/>
      <c r="C9" s="7"/>
      <c r="D9" s="7"/>
      <c r="E9" s="7"/>
      <c r="F9" s="7"/>
    </row>
    <row r="10" spans="1:6" x14ac:dyDescent="0.35">
      <c r="A10" s="7"/>
      <c r="B10" s="7"/>
      <c r="C10" s="7"/>
      <c r="D10" s="7"/>
      <c r="E10" s="7"/>
      <c r="F10" s="7"/>
    </row>
    <row r="11" spans="1:6" x14ac:dyDescent="0.35">
      <c r="A11" s="7"/>
      <c r="B11" s="7"/>
      <c r="C11" s="7"/>
      <c r="D11" s="7"/>
      <c r="E11" s="7"/>
      <c r="F11" s="7"/>
    </row>
    <row r="12" spans="1:6" x14ac:dyDescent="0.35">
      <c r="A12" s="11" t="s">
        <v>21</v>
      </c>
      <c r="B12" s="7"/>
      <c r="C12" s="7"/>
      <c r="D12" s="7"/>
      <c r="E12" s="7"/>
      <c r="F12" s="7"/>
    </row>
    <row r="13" spans="1:6" x14ac:dyDescent="0.35">
      <c r="A13" s="8" t="s">
        <v>22</v>
      </c>
      <c r="B13" s="7"/>
      <c r="C13" s="7"/>
      <c r="D13" s="7"/>
      <c r="E13" s="7"/>
      <c r="F13" s="7"/>
    </row>
    <row r="14" spans="1:6" x14ac:dyDescent="0.35">
      <c r="A14" s="8" t="s">
        <v>23</v>
      </c>
      <c r="B14" s="7"/>
      <c r="C14" s="7"/>
      <c r="D14" s="7"/>
      <c r="E14" s="7"/>
      <c r="F14" s="7"/>
    </row>
    <row r="15" spans="1:6" x14ac:dyDescent="0.35">
      <c r="A15" s="8" t="s">
        <v>24</v>
      </c>
      <c r="B15" s="7"/>
      <c r="C15" s="7"/>
      <c r="D15" s="7"/>
      <c r="E15" s="7"/>
      <c r="F15" s="7"/>
    </row>
  </sheetData>
  <mergeCells count="7">
    <mergeCell ref="A15:F15"/>
    <mergeCell ref="A1:C1"/>
    <mergeCell ref="A13:F13"/>
    <mergeCell ref="A14:F14"/>
    <mergeCell ref="A9:F11"/>
    <mergeCell ref="A8:F8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tabSelected="1" workbookViewId="0">
      <selection activeCell="J14" sqref="J14"/>
    </sheetView>
  </sheetViews>
  <sheetFormatPr baseColWidth="10" defaultColWidth="8.7265625" defaultRowHeight="14.5" x14ac:dyDescent="0.35"/>
  <cols>
    <col min="1" max="1" width="25" customWidth="1"/>
    <col min="2" max="2" width="30" customWidth="1"/>
    <col min="3" max="3" width="50" customWidth="1"/>
  </cols>
  <sheetData>
    <row r="1" spans="1:11" ht="21" x14ac:dyDescent="0.5">
      <c r="B1" s="29" t="s">
        <v>94</v>
      </c>
    </row>
    <row r="3" spans="1:11" ht="21" x14ac:dyDescent="0.5">
      <c r="C3" s="29"/>
      <c r="H3" s="21" t="s">
        <v>85</v>
      </c>
      <c r="I3" s="22"/>
      <c r="J3" s="23"/>
      <c r="K3" s="23"/>
    </row>
    <row r="4" spans="1:11" ht="21" x14ac:dyDescent="0.5">
      <c r="A4" s="40">
        <v>0.375</v>
      </c>
      <c r="B4" t="s">
        <v>82</v>
      </c>
      <c r="G4" s="24" t="s">
        <v>86</v>
      </c>
      <c r="H4" s="24"/>
      <c r="I4" s="25" t="s">
        <v>87</v>
      </c>
    </row>
    <row r="5" spans="1:11" ht="21" x14ac:dyDescent="0.5">
      <c r="B5" t="s">
        <v>25</v>
      </c>
      <c r="G5" s="24" t="s">
        <v>88</v>
      </c>
      <c r="H5" s="26"/>
      <c r="I5" s="27" t="s">
        <v>89</v>
      </c>
      <c r="J5" s="24"/>
    </row>
    <row r="6" spans="1:11" ht="21" x14ac:dyDescent="0.5">
      <c r="B6" t="s">
        <v>26</v>
      </c>
      <c r="C6" t="str">
        <f>ROUND('2. RESULTADOS'!$B$5/3/0.23, 0) &amp; " g"</f>
        <v>229 g</v>
      </c>
      <c r="G6" s="24" t="s">
        <v>90</v>
      </c>
      <c r="H6" s="26"/>
      <c r="I6" s="27"/>
      <c r="J6" s="24"/>
    </row>
    <row r="7" spans="1:11" ht="21" x14ac:dyDescent="0.5">
      <c r="B7" t="s">
        <v>27</v>
      </c>
      <c r="C7" t="str">
        <f>ROUND('2. RESULTADOS'!$B$5/3/0.2, 0) &amp; " g"</f>
        <v>263 g</v>
      </c>
      <c r="G7" s="24" t="s">
        <v>91</v>
      </c>
      <c r="H7" s="26"/>
      <c r="I7" s="28" t="s">
        <v>92</v>
      </c>
      <c r="J7" s="16"/>
    </row>
    <row r="8" spans="1:11" ht="21" x14ac:dyDescent="0.5">
      <c r="B8" t="s">
        <v>28</v>
      </c>
      <c r="C8" t="str">
        <f>ROUND('2. RESULTADOS'!$B$5/3/0.22, 0) &amp; " g"</f>
        <v>239 g</v>
      </c>
      <c r="G8" s="24" t="s">
        <v>93</v>
      </c>
      <c r="H8" s="26"/>
      <c r="I8" s="28"/>
      <c r="J8" s="16"/>
    </row>
    <row r="9" spans="1:11" x14ac:dyDescent="0.35">
      <c r="B9" t="s">
        <v>29</v>
      </c>
      <c r="C9" t="str">
        <f>ROUND('2. RESULTADOS'!$B$5/3/6.5, 1) &amp; " pzas"</f>
        <v>8.1 pzas</v>
      </c>
    </row>
    <row r="10" spans="1:11" x14ac:dyDescent="0.35">
      <c r="B10" t="s">
        <v>81</v>
      </c>
    </row>
    <row r="12" spans="1:11" x14ac:dyDescent="0.35">
      <c r="A12" s="2" t="s">
        <v>30</v>
      </c>
      <c r="B12" t="s">
        <v>83</v>
      </c>
    </row>
    <row r="13" spans="1:11" x14ac:dyDescent="0.35">
      <c r="B13" t="s">
        <v>25</v>
      </c>
    </row>
    <row r="14" spans="1:11" x14ac:dyDescent="0.35">
      <c r="B14" t="s">
        <v>26</v>
      </c>
      <c r="C14" t="str">
        <f>ROUND('2. RESULTADOS'!$B$5/3/0.23, 0) &amp; " g"</f>
        <v>229 g</v>
      </c>
    </row>
    <row r="15" spans="1:11" x14ac:dyDescent="0.35">
      <c r="B15" t="s">
        <v>27</v>
      </c>
      <c r="C15" t="str">
        <f>ROUND('2. RESULTADOS'!$B$5/3/0.2, 0) &amp; " g"</f>
        <v>263 g</v>
      </c>
    </row>
    <row r="16" spans="1:11" x14ac:dyDescent="0.35">
      <c r="B16" t="s">
        <v>28</v>
      </c>
      <c r="C16" t="str">
        <f>ROUND('2. RESULTADOS'!$B$5/3/0.22, 0) &amp; " g"</f>
        <v>239 g</v>
      </c>
    </row>
    <row r="17" spans="1:3" x14ac:dyDescent="0.35">
      <c r="B17" t="s">
        <v>29</v>
      </c>
      <c r="C17" t="str">
        <f>ROUND('2. RESULTADOS'!$B$5/3/6.5, 1) &amp; " pzas"</f>
        <v>8.1 pzas</v>
      </c>
    </row>
    <row r="18" spans="1:3" x14ac:dyDescent="0.35">
      <c r="B18" t="s">
        <v>81</v>
      </c>
    </row>
    <row r="20" spans="1:3" x14ac:dyDescent="0.35">
      <c r="A20" s="2" t="s">
        <v>31</v>
      </c>
      <c r="B20" t="s">
        <v>84</v>
      </c>
    </row>
    <row r="21" spans="1:3" x14ac:dyDescent="0.35">
      <c r="B21" t="s">
        <v>25</v>
      </c>
    </row>
    <row r="22" spans="1:3" x14ac:dyDescent="0.35">
      <c r="B22" t="s">
        <v>26</v>
      </c>
      <c r="C22" t="str">
        <f>ROUND('2. RESULTADOS'!$B$5/3/0.23, 0) &amp; " g"</f>
        <v>229 g</v>
      </c>
    </row>
    <row r="23" spans="1:3" x14ac:dyDescent="0.35">
      <c r="B23" t="s">
        <v>27</v>
      </c>
      <c r="C23" t="str">
        <f>ROUND('2. RESULTADOS'!$B$5/3/0.2, 0) &amp; " g"</f>
        <v>263 g</v>
      </c>
    </row>
    <row r="24" spans="1:3" x14ac:dyDescent="0.35">
      <c r="B24" t="s">
        <v>28</v>
      </c>
      <c r="C24" t="str">
        <f>ROUND('2. RESULTADOS'!$B$5/3/0.22, 0) &amp; " g"</f>
        <v>239 g</v>
      </c>
    </row>
    <row r="25" spans="1:3" x14ac:dyDescent="0.35">
      <c r="B25" t="s">
        <v>29</v>
      </c>
      <c r="C25" t="str">
        <f>ROUND('2. RESULTADOS'!$B$5/3/6.5, 1) &amp; " pzas"</f>
        <v>8.1 pzas</v>
      </c>
    </row>
    <row r="26" spans="1:3" x14ac:dyDescent="0.35">
      <c r="B26" t="s">
        <v>81</v>
      </c>
    </row>
    <row r="27" spans="1:3" x14ac:dyDescent="0.35">
      <c r="A27" s="30">
        <v>0.83333333333333337</v>
      </c>
      <c r="B27" s="41" t="s">
        <v>95</v>
      </c>
    </row>
    <row r="31" spans="1:3" ht="60" customHeight="1" x14ac:dyDescent="0.35">
      <c r="A31" s="15" t="s">
        <v>96</v>
      </c>
      <c r="B31" s="31" t="s">
        <v>97</v>
      </c>
    </row>
    <row r="32" spans="1:3" ht="29" x14ac:dyDescent="0.35">
      <c r="A32" s="15" t="s">
        <v>98</v>
      </c>
      <c r="B32" s="31" t="s">
        <v>99</v>
      </c>
    </row>
    <row r="33" spans="1:9" ht="43.5" x14ac:dyDescent="0.35">
      <c r="A33" s="15" t="s">
        <v>100</v>
      </c>
      <c r="B33" s="31" t="s">
        <v>101</v>
      </c>
    </row>
    <row r="34" spans="1:9" ht="43.5" x14ac:dyDescent="0.35">
      <c r="A34" s="15" t="s">
        <v>102</v>
      </c>
      <c r="B34" s="31" t="s">
        <v>103</v>
      </c>
    </row>
    <row r="35" spans="1:9" x14ac:dyDescent="0.35">
      <c r="A35" s="32" t="s">
        <v>104</v>
      </c>
      <c r="B35" s="32"/>
      <c r="C35" s="32"/>
      <c r="D35" s="32"/>
      <c r="E35" s="32"/>
      <c r="F35" s="32"/>
      <c r="G35" s="32"/>
      <c r="H35" s="32"/>
      <c r="I35" s="32"/>
    </row>
  </sheetData>
  <mergeCells count="10">
    <mergeCell ref="I8:J8"/>
    <mergeCell ref="A35:I35"/>
    <mergeCell ref="I5:J5"/>
    <mergeCell ref="G6:H6"/>
    <mergeCell ref="I6:J6"/>
    <mergeCell ref="G7:H7"/>
    <mergeCell ref="I7:J7"/>
    <mergeCell ref="G4:H4"/>
    <mergeCell ref="G5:H5"/>
    <mergeCell ref="G8:H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B15" sqref="B15"/>
    </sheetView>
  </sheetViews>
  <sheetFormatPr baseColWidth="10" defaultColWidth="8.7265625" defaultRowHeight="14.5" x14ac:dyDescent="0.35"/>
  <cols>
    <col min="1" max="3" width="35" customWidth="1"/>
  </cols>
  <sheetData>
    <row r="1" spans="1:3" x14ac:dyDescent="0.35">
      <c r="A1" s="6" t="s">
        <v>58</v>
      </c>
      <c r="B1" s="7"/>
      <c r="C1" s="7"/>
    </row>
    <row r="2" spans="1:3" x14ac:dyDescent="0.35">
      <c r="A2" s="2" t="s">
        <v>59</v>
      </c>
      <c r="B2" t="s">
        <v>60</v>
      </c>
      <c r="C2" t="s">
        <v>61</v>
      </c>
    </row>
    <row r="3" spans="1:3" x14ac:dyDescent="0.35">
      <c r="A3" s="2" t="s">
        <v>62</v>
      </c>
      <c r="B3">
        <f>ROUND('2. RESULTADOS'!$B$4/15*1, 1)</f>
        <v>21.5</v>
      </c>
      <c r="C3">
        <f>ROUND(('2. RESULTADOS'!$B$4/3)/15*1, 1)</f>
        <v>7.2</v>
      </c>
    </row>
    <row r="4" spans="1:3" x14ac:dyDescent="0.35">
      <c r="A4" s="2" t="s">
        <v>63</v>
      </c>
      <c r="B4">
        <f>ROUND('2. RESULTADOS'!$B$4/15*0.25, 1)</f>
        <v>5.4</v>
      </c>
      <c r="C4">
        <f>ROUND(('2. RESULTADOS'!$B$4/3)/15*0.25, 1)</f>
        <v>1.8</v>
      </c>
    </row>
    <row r="5" spans="1:3" x14ac:dyDescent="0.35">
      <c r="A5" s="2" t="s">
        <v>64</v>
      </c>
      <c r="B5">
        <f>ROUND('2. RESULTADOS'!$B$4/15*0.33, 1)</f>
        <v>7.1</v>
      </c>
      <c r="C5">
        <f>ROUND(('2. RESULTADOS'!$B$4/3)/15*0.33, 1)</f>
        <v>2.4</v>
      </c>
    </row>
    <row r="6" spans="1:3" x14ac:dyDescent="0.35">
      <c r="A6" s="2" t="s">
        <v>65</v>
      </c>
      <c r="B6">
        <f>ROUND('2. RESULTADOS'!$B$4/15*0.25, 1)</f>
        <v>5.4</v>
      </c>
      <c r="C6">
        <f>ROUND(('2. RESULTADOS'!$B$4/3)/15*0.25, 1)</f>
        <v>1.8</v>
      </c>
    </row>
    <row r="7" spans="1:3" x14ac:dyDescent="0.35">
      <c r="A7" s="2" t="s">
        <v>66</v>
      </c>
      <c r="B7">
        <f>ROUND('2. RESULTADOS'!$B$4/15*0.5, 1)</f>
        <v>10.8</v>
      </c>
      <c r="C7">
        <f>ROUND(('2. RESULTADOS'!$B$4/3)/15*0.5, 1)</f>
        <v>3.6</v>
      </c>
    </row>
    <row r="8" spans="1:3" x14ac:dyDescent="0.35">
      <c r="A8" s="2" t="s">
        <v>67</v>
      </c>
      <c r="B8">
        <f>ROUND('2. RESULTADOS'!$B$4/15*0.5, 1)</f>
        <v>10.8</v>
      </c>
      <c r="C8">
        <f>ROUND(('2. RESULTADOS'!$B$4/3)/15*0.5, 1)</f>
        <v>3.6</v>
      </c>
    </row>
    <row r="9" spans="1:3" x14ac:dyDescent="0.35">
      <c r="A9" s="2" t="s">
        <v>68</v>
      </c>
      <c r="B9">
        <f>ROUND('2. RESULTADOS'!$B$4/15*1, 1)</f>
        <v>21.5</v>
      </c>
      <c r="C9">
        <f>ROUND(('2. RESULTADOS'!$B$4/3)/15*1, 1)</f>
        <v>7.2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workbookViewId="0">
      <selection activeCell="D6" sqref="D6"/>
    </sheetView>
  </sheetViews>
  <sheetFormatPr baseColWidth="10" defaultColWidth="8.7265625" defaultRowHeight="14.5" x14ac:dyDescent="0.35"/>
  <cols>
    <col min="1" max="1" width="30" customWidth="1"/>
    <col min="2" max="2" width="70" customWidth="1"/>
  </cols>
  <sheetData>
    <row r="1" spans="1:8" x14ac:dyDescent="0.35">
      <c r="A1" s="2" t="s">
        <v>69</v>
      </c>
      <c r="B1" t="s">
        <v>76</v>
      </c>
    </row>
    <row r="2" spans="1:8" x14ac:dyDescent="0.35">
      <c r="A2" s="2" t="s">
        <v>70</v>
      </c>
      <c r="B2" t="s">
        <v>77</v>
      </c>
    </row>
    <row r="3" spans="1:8" x14ac:dyDescent="0.35">
      <c r="A3" s="2" t="s">
        <v>71</v>
      </c>
      <c r="B3" t="s">
        <v>72</v>
      </c>
    </row>
    <row r="4" spans="1:8" x14ac:dyDescent="0.35">
      <c r="A4" s="2" t="s">
        <v>73</v>
      </c>
      <c r="B4" t="s">
        <v>74</v>
      </c>
    </row>
    <row r="5" spans="1:8" x14ac:dyDescent="0.35">
      <c r="B5" t="s">
        <v>75</v>
      </c>
    </row>
    <row r="9" spans="1:8" ht="15.5" x14ac:dyDescent="0.35">
      <c r="A9" s="13" t="s">
        <v>32</v>
      </c>
      <c r="B9" s="7"/>
      <c r="C9" s="7"/>
      <c r="D9" s="7"/>
      <c r="E9" s="7"/>
      <c r="F9" s="7"/>
      <c r="G9" s="7"/>
      <c r="H9" s="7"/>
    </row>
    <row r="11" spans="1:8" x14ac:dyDescent="0.35">
      <c r="A11" s="12" t="s">
        <v>33</v>
      </c>
      <c r="B11" s="7"/>
      <c r="C11" s="7"/>
      <c r="D11" s="7"/>
      <c r="E11" s="7"/>
      <c r="F11" s="7"/>
      <c r="G11" s="7"/>
      <c r="H11" s="7"/>
    </row>
    <row r="12" spans="1:8" x14ac:dyDescent="0.35">
      <c r="A12" s="18" t="s">
        <v>80</v>
      </c>
      <c r="B12" s="7"/>
      <c r="C12" s="7"/>
      <c r="D12" s="7"/>
      <c r="E12" s="7"/>
      <c r="F12" s="7"/>
      <c r="G12" s="7"/>
      <c r="H12" s="7"/>
    </row>
    <row r="13" spans="1:8" x14ac:dyDescent="0.35">
      <c r="A13" s="7"/>
      <c r="B13" s="7"/>
      <c r="C13" s="7"/>
      <c r="D13" s="7"/>
      <c r="E13" s="7"/>
      <c r="F13" s="7"/>
      <c r="G13" s="7"/>
      <c r="H13" s="7"/>
    </row>
    <row r="14" spans="1:8" x14ac:dyDescent="0.35">
      <c r="A14" s="7"/>
      <c r="B14" s="7"/>
      <c r="C14" s="7"/>
      <c r="D14" s="7"/>
      <c r="E14" s="7"/>
      <c r="F14" s="7"/>
      <c r="G14" s="7"/>
      <c r="H14" s="7"/>
    </row>
    <row r="16" spans="1:8" x14ac:dyDescent="0.35">
      <c r="A16" s="12" t="s">
        <v>34</v>
      </c>
      <c r="B16" s="7"/>
      <c r="C16" s="7"/>
      <c r="D16" s="7"/>
      <c r="E16" s="7"/>
      <c r="F16" s="7"/>
      <c r="G16" s="7"/>
      <c r="H16" s="7"/>
    </row>
    <row r="17" spans="1:8" x14ac:dyDescent="0.35">
      <c r="A17" s="8" t="s">
        <v>35</v>
      </c>
      <c r="B17" s="7"/>
      <c r="C17" s="7"/>
      <c r="D17" s="7"/>
      <c r="E17" s="7"/>
      <c r="F17" s="7"/>
      <c r="G17" s="7"/>
      <c r="H17" s="7"/>
    </row>
    <row r="18" spans="1:8" x14ac:dyDescent="0.35">
      <c r="A18" s="7"/>
      <c r="B18" s="7"/>
      <c r="C18" s="7"/>
      <c r="D18" s="7"/>
      <c r="E18" s="7"/>
      <c r="F18" s="7"/>
      <c r="G18" s="7"/>
      <c r="H18" s="7"/>
    </row>
    <row r="20" spans="1:8" x14ac:dyDescent="0.35">
      <c r="A20" s="12" t="s">
        <v>36</v>
      </c>
      <c r="B20" s="7"/>
      <c r="C20" s="7"/>
      <c r="D20" s="7"/>
      <c r="E20" s="7"/>
      <c r="F20" s="7"/>
      <c r="G20" s="7"/>
      <c r="H20" s="7"/>
    </row>
    <row r="21" spans="1:8" x14ac:dyDescent="0.35">
      <c r="A21" s="5" t="s">
        <v>37</v>
      </c>
      <c r="B21" s="3" t="s">
        <v>38</v>
      </c>
      <c r="C21" s="4" t="s">
        <v>39</v>
      </c>
    </row>
    <row r="22" spans="1:8" x14ac:dyDescent="0.35">
      <c r="A22" s="5" t="s">
        <v>37</v>
      </c>
      <c r="B22" s="3" t="s">
        <v>40</v>
      </c>
      <c r="C22" s="4" t="s">
        <v>41</v>
      </c>
    </row>
    <row r="23" spans="1:8" x14ac:dyDescent="0.35">
      <c r="A23" s="19" t="s">
        <v>37</v>
      </c>
      <c r="B23" s="3" t="s">
        <v>42</v>
      </c>
      <c r="C23" s="4" t="s">
        <v>43</v>
      </c>
    </row>
    <row r="24" spans="1:8" x14ac:dyDescent="0.35">
      <c r="A24" s="19" t="s">
        <v>37</v>
      </c>
      <c r="B24" s="20" t="s">
        <v>47</v>
      </c>
      <c r="C24" s="4" t="s">
        <v>48</v>
      </c>
    </row>
    <row r="26" spans="1:8" x14ac:dyDescent="0.35">
      <c r="A26" s="5" t="s">
        <v>44</v>
      </c>
      <c r="B26" s="3" t="s">
        <v>45</v>
      </c>
      <c r="C26" s="4" t="s">
        <v>46</v>
      </c>
    </row>
    <row r="27" spans="1:8" x14ac:dyDescent="0.35">
      <c r="A27" s="5" t="s">
        <v>44</v>
      </c>
      <c r="B27" s="3" t="s">
        <v>49</v>
      </c>
      <c r="C27" s="4" t="s">
        <v>50</v>
      </c>
    </row>
    <row r="29" spans="1:8" x14ac:dyDescent="0.35">
      <c r="A29" s="5" t="s">
        <v>51</v>
      </c>
      <c r="B29" s="3" t="s">
        <v>52</v>
      </c>
      <c r="C29" s="4" t="s">
        <v>53</v>
      </c>
    </row>
    <row r="30" spans="1:8" x14ac:dyDescent="0.35">
      <c r="A30" s="5" t="s">
        <v>51</v>
      </c>
      <c r="B30" s="3" t="s">
        <v>54</v>
      </c>
      <c r="C30" s="4" t="s">
        <v>55</v>
      </c>
    </row>
    <row r="31" spans="1:8" x14ac:dyDescent="0.35">
      <c r="A31" s="5" t="s">
        <v>51</v>
      </c>
      <c r="B31" s="3" t="s">
        <v>56</v>
      </c>
      <c r="C31" s="4" t="s">
        <v>57</v>
      </c>
      <c r="D31" s="17" t="s">
        <v>78</v>
      </c>
      <c r="E31" s="17"/>
      <c r="F31" s="17"/>
      <c r="G31" s="17"/>
    </row>
    <row r="33" spans="1:8" x14ac:dyDescent="0.35">
      <c r="A33" s="14" t="s">
        <v>79</v>
      </c>
      <c r="B33" s="7"/>
      <c r="C33" s="7"/>
      <c r="D33" s="7"/>
      <c r="E33" s="7"/>
      <c r="F33" s="7"/>
      <c r="G33" s="7"/>
      <c r="H33" s="7"/>
    </row>
    <row r="34" spans="1:8" x14ac:dyDescent="0.35">
      <c r="A34" s="7"/>
      <c r="B34" s="7"/>
      <c r="C34" s="7"/>
      <c r="D34" s="7"/>
      <c r="E34" s="7"/>
      <c r="F34" s="7"/>
      <c r="G34" s="7"/>
      <c r="H34" s="7"/>
    </row>
  </sheetData>
  <mergeCells count="7">
    <mergeCell ref="A20:H20"/>
    <mergeCell ref="A33:H34"/>
    <mergeCell ref="A9:H9"/>
    <mergeCell ref="A11:H11"/>
    <mergeCell ref="A12:H14"/>
    <mergeCell ref="A16:H16"/>
    <mergeCell ref="A17:H1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DATOS</vt:lpstr>
      <vt:lpstr>2. RESULTADOS</vt:lpstr>
      <vt:lpstr>3. GUÍA ALIMENTACIÓN</vt:lpstr>
      <vt:lpstr>4. EQUIVALENCIAS CARBS</vt:lpstr>
      <vt:lpstr>5. RECOMENDACIONES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Jesus Lezama Alamillo - Alumno</cp:lastModifiedBy>
  <dcterms:created xsi:type="dcterms:W3CDTF">2026-04-15T03:27:46Z</dcterms:created>
  <dcterms:modified xsi:type="dcterms:W3CDTF">2026-04-17T03:40:55Z</dcterms:modified>
</cp:coreProperties>
</file>